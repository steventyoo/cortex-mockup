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8" i="1" l="1"/>
  <c r="E41" i="1" l="1"/>
  <c r="E40" i="1"/>
</calcChain>
</file>

<file path=xl/sharedStrings.xml><?xml version="1.0" encoding="utf-8"?>
<sst xmlns="http://schemas.openxmlformats.org/spreadsheetml/2006/main" count="92" uniqueCount="44">
  <si>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</si>
  <si>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</si>
  <si>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</si>
  <si>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</si>
  <si>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</si>
  <si>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</si>
  <si>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</si>
  <si>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</si>
  <si>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</si>
  <si>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</si>
  <si>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</si>
  <si>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</si>
  <si>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</si>
  <si>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</si>
  <si>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</si>
  <si>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</si>
  <si>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</si>
  <si>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</si>
  <si>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</si>
  <si>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</si>
  <si>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</si>
  <si>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</si>
  <si>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</si>
  <si>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</si>
  <si>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</si>
  <si>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</si>
  <si>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</si>
  <si>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</si>
  <si>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</si>
  <si>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</si>
  <si>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</si>
  <si>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</si>
  <si>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</si>
  <si>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</si>
  <si>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</si>
  <si>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</si>
  <si>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</si>
  <si>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</si>
  <si>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</si>
  <si>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</si>
  <si>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</si>
  <si>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9</t>
  </si>
  <si>
    <t>Correction to icemaker error made by Chinn</t>
  </si>
  <si>
    <t>Relocate elevator machine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</si>
</sst>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7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E13" sqref="E13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2023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40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39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6290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/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/>
      <c r="F13" s="19"/>
      <c r="G13" s="42" t="s">
        <v>17</v>
      </c>
      <c r="H13" s="43"/>
      <c r="I13" s="5">
        <v>210</v>
      </c>
      <c r="J13" s="30"/>
      <c r="K13" s="42" t="s">
        <v>24</v>
      </c>
      <c r="L13" s="43"/>
      <c r="M13" s="5">
        <v>600</v>
      </c>
      <c r="N13" s="30">
        <v>650</v>
      </c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/>
      <c r="F14" s="19"/>
      <c r="G14" s="42" t="s">
        <v>10</v>
      </c>
      <c r="H14" s="43"/>
      <c r="I14" s="5">
        <v>211</v>
      </c>
      <c r="J14" s="30"/>
      <c r="K14" s="42" t="s">
        <v>25</v>
      </c>
      <c r="L14" s="43"/>
      <c r="M14" s="5">
        <v>601</v>
      </c>
      <c r="N14" s="30">
        <v>190</v>
      </c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/>
      <c r="F15" s="19"/>
      <c r="G15" s="42" t="s">
        <v>11</v>
      </c>
      <c r="H15" s="43"/>
      <c r="I15" s="5">
        <v>212</v>
      </c>
      <c r="J15" s="30"/>
      <c r="K15" s="42" t="s">
        <v>26</v>
      </c>
      <c r="L15" s="43"/>
      <c r="M15" s="5">
        <v>602</v>
      </c>
      <c r="N15" s="30"/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/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/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>
        <f>3262+201</f>
        <v>3463</v>
      </c>
      <c r="F18" s="19"/>
      <c r="G18" s="42" t="s">
        <v>8</v>
      </c>
      <c r="H18" s="43"/>
      <c r="I18" s="5">
        <v>230</v>
      </c>
      <c r="J18" s="30"/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/>
      <c r="F19" s="19"/>
      <c r="G19" s="42" t="s">
        <v>38</v>
      </c>
      <c r="H19" s="43"/>
      <c r="I19" s="5">
        <v>240</v>
      </c>
      <c r="J19" s="30"/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/>
      <c r="F20" s="19"/>
      <c r="G20" s="42" t="s">
        <v>20</v>
      </c>
      <c r="H20" s="43"/>
      <c r="I20" s="5">
        <v>241</v>
      </c>
      <c r="J20" s="30"/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/>
      <c r="F21" s="19"/>
      <c r="G21" s="42" t="s">
        <v>16</v>
      </c>
      <c r="H21" s="43"/>
      <c r="I21" s="5">
        <v>242</v>
      </c>
      <c r="J21" s="30"/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0.46350000000000002</v>
      </c>
      <c r="D40" s="5"/>
      <c r="E40" s="31">
        <f>SUM(E12:E39,N18,N19)*C40</f>
        <v>1605.1005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264.91949999999997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41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 t="s">
        <v>42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 t="s">
        <v>43</v>
      </c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2016-03-23T18:31:02Z</cp:lastPrinted>
  <dcterms:created xsi:type="dcterms:W3CDTF">2007-06-15T20:21:01Z</dcterms:created>
  <dcterms:modified xsi:type="dcterms:W3CDTF">2016-03-23T18:32:31Z</dcterms:modified>
</cp:coreProperties>
</file>