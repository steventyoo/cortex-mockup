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J19" i="1" l="1"/>
  <c r="E20" i="1"/>
  <c r="E41" i="1" l="1"/>
  <c r="E40" i="1"/>
</calcChain>
</file>

<file path=xl/sharedStrings.xml><?xml version="1.0" encoding="utf-8"?>
<sst xmlns="http://schemas.openxmlformats.org/spreadsheetml/2006/main" count="92" uniqueCount="44">
  <si>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</si>
  <si>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</si>
  <si>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</si>
  <si>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</si>
  <si>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</si>
  <si>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</si>
  <si>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</si>
  <si>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</si>
  <si>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</si>
  <si>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</si>
  <si>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</si>
  <si>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</si>
  <si>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</si>
  <si>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</si>
  <si>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</si>
  <si>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</si>
  <si>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</si>
  <si>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</si>
  <si>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</si>
  <si>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</si>
  <si>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</si>
  <si>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</si>
  <si>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</si>
  <si>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</si>
  <si>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</si>
  <si>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</si>
  <si>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</si>
  <si>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</si>
  <si>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</si>
  <si>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</si>
  <si>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</si>
  <si>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</si>
  <si>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</si>
  <si>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</si>
  <si>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</si>
  <si>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</si>
  <si>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</si>
  <si>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</si>
  <si>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</si>
  <si>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</si>
  <si>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</si>
  <si>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Change Order 8</t>
  </si>
  <si>
    <t>Gas service to future retail areas</t>
  </si>
  <si>
    <t>Gas sleeve from meter to loading 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</si>
</sst>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7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75" zoomScaleNormal="100" workbookViewId="0">
      <selection activeCell="J34" sqref="J34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37" t="s">
        <v>31</v>
      </c>
      <c r="H2" s="38"/>
      <c r="I2" s="38"/>
      <c r="J2" s="38"/>
      <c r="K2" s="38"/>
      <c r="L2" s="38"/>
      <c r="M2" s="64"/>
      <c r="N2" s="64"/>
    </row>
    <row r="3" spans="1:14" ht="12.75" customHeight="1" x14ac:dyDescent="0.2">
      <c r="A3" s="27"/>
      <c r="B3" s="27"/>
      <c r="C3" s="4"/>
      <c r="D3" s="4"/>
      <c r="E3" s="4"/>
      <c r="F3" s="3"/>
      <c r="G3" s="38"/>
      <c r="H3" s="38"/>
      <c r="I3" s="38"/>
      <c r="J3" s="38"/>
      <c r="K3" s="38"/>
      <c r="L3" s="38"/>
    </row>
    <row r="4" spans="1:14" ht="27.6" customHeight="1" x14ac:dyDescent="0.2">
      <c r="A4" s="39" t="s">
        <v>0</v>
      </c>
      <c r="B4" s="39"/>
      <c r="C4" s="36">
        <v>2023</v>
      </c>
      <c r="D4" s="36"/>
      <c r="E4" s="36"/>
      <c r="F4" s="4"/>
      <c r="G4" s="4"/>
      <c r="H4" s="4"/>
      <c r="I4" s="4"/>
      <c r="J4" s="4"/>
      <c r="K4" s="4"/>
    </row>
    <row r="5" spans="1:14" ht="28.9" customHeight="1" x14ac:dyDescent="0.2">
      <c r="A5" s="52" t="s">
        <v>4</v>
      </c>
      <c r="B5" s="52"/>
      <c r="C5" s="36" t="s">
        <v>40</v>
      </c>
      <c r="D5" s="36"/>
      <c r="E5" s="36"/>
      <c r="F5" s="36"/>
      <c r="G5" s="36"/>
      <c r="H5" s="36"/>
      <c r="I5" s="4"/>
      <c r="J5" s="4"/>
      <c r="K5" s="4"/>
    </row>
    <row r="6" spans="1:14" ht="27" customHeight="1" x14ac:dyDescent="0.2">
      <c r="A6" s="52" t="s">
        <v>1</v>
      </c>
      <c r="B6" s="52"/>
      <c r="C6" s="59" t="s">
        <v>39</v>
      </c>
      <c r="D6" s="59"/>
      <c r="E6" s="59"/>
      <c r="F6" s="59"/>
      <c r="G6" s="59"/>
      <c r="H6" s="59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52" t="s">
        <v>21</v>
      </c>
      <c r="B8" s="53"/>
      <c r="C8" s="60">
        <v>999</v>
      </c>
      <c r="D8" s="61"/>
      <c r="E8" s="28">
        <v>10620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68"/>
      <c r="B9" s="68"/>
      <c r="D9" s="2" t="s">
        <v>2</v>
      </c>
    </row>
    <row r="10" spans="1:14" ht="20.100000000000001" customHeight="1" thickTop="1" x14ac:dyDescent="0.3">
      <c r="A10" s="69"/>
      <c r="B10" s="69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65" t="s">
        <v>6</v>
      </c>
      <c r="B11" s="65"/>
      <c r="C11" s="70"/>
      <c r="D11" s="15" t="s">
        <v>2</v>
      </c>
      <c r="E11" s="15" t="s">
        <v>22</v>
      </c>
      <c r="F11" s="15"/>
      <c r="G11" s="65" t="s">
        <v>19</v>
      </c>
      <c r="H11" s="65"/>
      <c r="I11" s="15" t="s">
        <v>2</v>
      </c>
      <c r="J11" s="15" t="s">
        <v>22</v>
      </c>
      <c r="K11" s="65" t="s">
        <v>23</v>
      </c>
      <c r="L11" s="65"/>
      <c r="M11" s="15" t="s">
        <v>2</v>
      </c>
      <c r="N11" s="15" t="s">
        <v>22</v>
      </c>
    </row>
    <row r="12" spans="1:14" ht="23.45" customHeight="1" thickTop="1" thickBot="1" x14ac:dyDescent="0.35">
      <c r="A12" s="62" t="s">
        <v>3</v>
      </c>
      <c r="B12" s="63"/>
      <c r="C12" s="13"/>
      <c r="D12" s="14">
        <v>100</v>
      </c>
      <c r="E12" s="30"/>
      <c r="F12" s="18"/>
      <c r="G12" s="66"/>
      <c r="H12" s="67"/>
      <c r="I12" s="14"/>
      <c r="J12" s="32"/>
      <c r="K12" s="66"/>
      <c r="L12" s="67"/>
      <c r="M12" s="14"/>
      <c r="N12" s="34"/>
    </row>
    <row r="13" spans="1:14" ht="23.45" customHeight="1" thickTop="1" thickBot="1" x14ac:dyDescent="0.3">
      <c r="A13" s="42" t="s">
        <v>15</v>
      </c>
      <c r="B13" s="43"/>
      <c r="C13" s="6"/>
      <c r="D13" s="5">
        <v>101</v>
      </c>
      <c r="E13" s="30"/>
      <c r="F13" s="19"/>
      <c r="G13" s="44" t="s">
        <v>17</v>
      </c>
      <c r="H13" s="45"/>
      <c r="I13" s="5">
        <v>210</v>
      </c>
      <c r="J13" s="30"/>
      <c r="K13" s="44" t="s">
        <v>24</v>
      </c>
      <c r="L13" s="45"/>
      <c r="M13" s="5">
        <v>600</v>
      </c>
      <c r="N13" s="30">
        <v>125</v>
      </c>
    </row>
    <row r="14" spans="1:14" ht="23.45" customHeight="1" thickTop="1" thickBot="1" x14ac:dyDescent="0.3">
      <c r="A14" s="42" t="s">
        <v>17</v>
      </c>
      <c r="B14" s="43"/>
      <c r="C14" s="6"/>
      <c r="D14" s="5">
        <v>110</v>
      </c>
      <c r="E14" s="30"/>
      <c r="F14" s="19"/>
      <c r="G14" s="44" t="s">
        <v>10</v>
      </c>
      <c r="H14" s="45"/>
      <c r="I14" s="5">
        <v>211</v>
      </c>
      <c r="J14" s="30"/>
      <c r="K14" s="44" t="s">
        <v>25</v>
      </c>
      <c r="L14" s="45"/>
      <c r="M14" s="5">
        <v>601</v>
      </c>
      <c r="N14" s="30">
        <v>380</v>
      </c>
    </row>
    <row r="15" spans="1:14" ht="23.45" customHeight="1" thickTop="1" thickBot="1" x14ac:dyDescent="0.3">
      <c r="A15" s="42" t="s">
        <v>37</v>
      </c>
      <c r="B15" s="43"/>
      <c r="C15" s="6"/>
      <c r="D15" s="5">
        <v>111</v>
      </c>
      <c r="E15" s="30"/>
      <c r="F15" s="19"/>
      <c r="G15" s="44" t="s">
        <v>11</v>
      </c>
      <c r="H15" s="45"/>
      <c r="I15" s="5">
        <v>212</v>
      </c>
      <c r="J15" s="30"/>
      <c r="K15" s="44" t="s">
        <v>26</v>
      </c>
      <c r="L15" s="45"/>
      <c r="M15" s="5">
        <v>602</v>
      </c>
      <c r="N15" s="30">
        <v>350</v>
      </c>
    </row>
    <row r="16" spans="1:14" ht="23.45" customHeight="1" thickTop="1" thickBot="1" x14ac:dyDescent="0.3">
      <c r="A16" s="42" t="s">
        <v>36</v>
      </c>
      <c r="B16" s="43"/>
      <c r="C16" s="6"/>
      <c r="D16" s="5">
        <v>112</v>
      </c>
      <c r="E16" s="30"/>
      <c r="F16" s="19"/>
      <c r="G16" s="44" t="s">
        <v>12</v>
      </c>
      <c r="H16" s="45"/>
      <c r="I16" s="5">
        <v>213</v>
      </c>
      <c r="J16" s="30"/>
      <c r="K16" s="44" t="s">
        <v>27</v>
      </c>
      <c r="L16" s="45"/>
      <c r="M16" s="5">
        <v>603</v>
      </c>
      <c r="N16" s="30"/>
    </row>
    <row r="17" spans="1:14" ht="23.45" customHeight="1" thickTop="1" thickBot="1" x14ac:dyDescent="0.3">
      <c r="A17" s="42" t="s">
        <v>12</v>
      </c>
      <c r="B17" s="43"/>
      <c r="C17" s="6"/>
      <c r="D17" s="5">
        <v>113</v>
      </c>
      <c r="E17" s="30"/>
      <c r="F17" s="19"/>
      <c r="G17" s="44" t="s">
        <v>7</v>
      </c>
      <c r="H17" s="45"/>
      <c r="I17" s="5">
        <v>220</v>
      </c>
      <c r="J17" s="30"/>
      <c r="K17" s="44" t="s">
        <v>28</v>
      </c>
      <c r="L17" s="45"/>
      <c r="M17" s="5">
        <v>604</v>
      </c>
      <c r="N17" s="30"/>
    </row>
    <row r="18" spans="1:14" ht="23.45" customHeight="1" thickTop="1" thickBot="1" x14ac:dyDescent="0.3">
      <c r="A18" s="42" t="s">
        <v>35</v>
      </c>
      <c r="B18" s="43"/>
      <c r="C18" s="6"/>
      <c r="D18" s="5">
        <v>120</v>
      </c>
      <c r="E18" s="30"/>
      <c r="F18" s="19"/>
      <c r="G18" s="44" t="s">
        <v>8</v>
      </c>
      <c r="H18" s="45"/>
      <c r="I18" s="5">
        <v>230</v>
      </c>
      <c r="J18" s="30"/>
      <c r="K18" s="44" t="s">
        <v>34</v>
      </c>
      <c r="L18" s="45"/>
      <c r="M18" s="5" t="s">
        <v>34</v>
      </c>
      <c r="N18" s="30"/>
    </row>
    <row r="19" spans="1:14" ht="23.45" customHeight="1" thickTop="1" thickBot="1" x14ac:dyDescent="0.3">
      <c r="A19" s="42" t="s">
        <v>8</v>
      </c>
      <c r="B19" s="43"/>
      <c r="C19" s="6"/>
      <c r="D19" s="5">
        <v>130</v>
      </c>
      <c r="E19" s="30"/>
      <c r="F19" s="19"/>
      <c r="G19" s="44" t="s">
        <v>38</v>
      </c>
      <c r="H19" s="45"/>
      <c r="I19" s="5">
        <v>240</v>
      </c>
      <c r="J19" s="30">
        <f>100+430+1262</f>
        <v>1792</v>
      </c>
      <c r="K19" s="44" t="s">
        <v>29</v>
      </c>
      <c r="L19" s="45"/>
      <c r="M19" s="5">
        <v>606</v>
      </c>
      <c r="N19" s="30"/>
    </row>
    <row r="20" spans="1:14" ht="23.45" customHeight="1" thickTop="1" thickBot="1" x14ac:dyDescent="0.3">
      <c r="A20" s="42" t="s">
        <v>9</v>
      </c>
      <c r="B20" s="43"/>
      <c r="C20" s="6"/>
      <c r="D20" s="5">
        <v>140</v>
      </c>
      <c r="E20" s="30">
        <f>210+2970</f>
        <v>3180</v>
      </c>
      <c r="F20" s="19"/>
      <c r="G20" s="44" t="s">
        <v>20</v>
      </c>
      <c r="H20" s="45"/>
      <c r="I20" s="5">
        <v>241</v>
      </c>
      <c r="J20" s="30"/>
      <c r="K20" s="44" t="s">
        <v>30</v>
      </c>
      <c r="L20" s="45"/>
      <c r="M20" s="5">
        <v>607</v>
      </c>
      <c r="N20" s="30"/>
    </row>
    <row r="21" spans="1:14" ht="23.45" customHeight="1" thickTop="1" thickBot="1" x14ac:dyDescent="0.3">
      <c r="A21" s="42" t="s">
        <v>20</v>
      </c>
      <c r="B21" s="43"/>
      <c r="C21" s="6"/>
      <c r="D21" s="5">
        <v>141</v>
      </c>
      <c r="E21" s="30"/>
      <c r="F21" s="19"/>
      <c r="G21" s="44" t="s">
        <v>16</v>
      </c>
      <c r="H21" s="45"/>
      <c r="I21" s="5">
        <v>242</v>
      </c>
      <c r="J21" s="30"/>
      <c r="K21" s="44"/>
      <c r="L21" s="45"/>
      <c r="M21" s="5"/>
      <c r="N21" s="30"/>
    </row>
    <row r="22" spans="1:14" ht="23.45" customHeight="1" thickTop="1" thickBot="1" x14ac:dyDescent="0.3">
      <c r="A22" s="42" t="s">
        <v>16</v>
      </c>
      <c r="B22" s="43"/>
      <c r="C22" s="6"/>
      <c r="D22" s="5">
        <v>142</v>
      </c>
      <c r="E22" s="30"/>
      <c r="F22" s="19"/>
      <c r="G22" s="44" t="s">
        <v>32</v>
      </c>
      <c r="H22" s="45"/>
      <c r="I22" s="5">
        <v>243</v>
      </c>
      <c r="J22" s="30"/>
      <c r="K22" s="44"/>
      <c r="L22" s="45"/>
      <c r="M22" s="5"/>
      <c r="N22" s="30"/>
    </row>
    <row r="23" spans="1:14" ht="23.45" customHeight="1" thickTop="1" thickBot="1" x14ac:dyDescent="0.3">
      <c r="A23" s="42" t="s">
        <v>32</v>
      </c>
      <c r="B23" s="43"/>
      <c r="C23" s="6"/>
      <c r="D23" s="5">
        <v>143</v>
      </c>
      <c r="E23" s="30"/>
      <c r="F23" s="19"/>
      <c r="G23" s="44" t="s">
        <v>33</v>
      </c>
      <c r="H23" s="45"/>
      <c r="I23" s="5">
        <v>244</v>
      </c>
      <c r="J23" s="30"/>
      <c r="K23" s="44"/>
      <c r="L23" s="45"/>
      <c r="M23" s="5"/>
      <c r="N23" s="30"/>
    </row>
    <row r="24" spans="1:14" ht="23.45" customHeight="1" thickTop="1" thickBot="1" x14ac:dyDescent="0.3">
      <c r="A24" s="42" t="s">
        <v>33</v>
      </c>
      <c r="B24" s="43"/>
      <c r="C24" s="6"/>
      <c r="D24" s="5">
        <v>144</v>
      </c>
      <c r="E24" s="30"/>
      <c r="F24" s="19"/>
      <c r="G24" s="44" t="s">
        <v>13</v>
      </c>
      <c r="H24" s="45"/>
      <c r="I24" s="5">
        <v>250</v>
      </c>
      <c r="J24" s="30"/>
      <c r="K24" s="44"/>
      <c r="L24" s="45"/>
      <c r="M24" s="5"/>
      <c r="N24" s="30"/>
    </row>
    <row r="25" spans="1:14" ht="23.45" customHeight="1" thickTop="1" thickBot="1" x14ac:dyDescent="0.3">
      <c r="A25" s="42" t="s">
        <v>13</v>
      </c>
      <c r="B25" s="43"/>
      <c r="C25" s="6"/>
      <c r="D25" s="5">
        <v>150</v>
      </c>
      <c r="E25" s="30"/>
      <c r="F25" s="19"/>
      <c r="G25" s="42" t="s">
        <v>14</v>
      </c>
      <c r="H25" s="43"/>
      <c r="I25" s="5">
        <v>251</v>
      </c>
      <c r="J25" s="30"/>
      <c r="K25" s="40"/>
      <c r="L25" s="41"/>
      <c r="M25" s="5"/>
      <c r="N25" s="30"/>
    </row>
    <row r="26" spans="1:14" ht="23.45" customHeight="1" thickTop="1" thickBot="1" x14ac:dyDescent="0.3">
      <c r="A26" s="42" t="s">
        <v>14</v>
      </c>
      <c r="B26" s="43"/>
      <c r="C26" s="6"/>
      <c r="D26" s="5">
        <v>151</v>
      </c>
      <c r="E26" s="30"/>
      <c r="F26" s="19"/>
      <c r="G26" s="42" t="s">
        <v>34</v>
      </c>
      <c r="H26" s="43"/>
      <c r="I26" s="5" t="s">
        <v>34</v>
      </c>
      <c r="J26" s="30"/>
      <c r="K26" s="40"/>
      <c r="L26" s="41"/>
      <c r="M26" s="5"/>
      <c r="N26" s="30"/>
    </row>
    <row r="27" spans="1:14" ht="23.45" customHeight="1" thickTop="1" thickBot="1" x14ac:dyDescent="0.3">
      <c r="A27" s="42" t="s">
        <v>34</v>
      </c>
      <c r="B27" s="43"/>
      <c r="C27" s="6"/>
      <c r="D27" s="5" t="s">
        <v>34</v>
      </c>
      <c r="E27" s="30"/>
      <c r="F27" s="19"/>
      <c r="G27" s="40"/>
      <c r="H27" s="41"/>
      <c r="I27" s="5" t="s">
        <v>34</v>
      </c>
      <c r="J27" s="30"/>
      <c r="K27" s="40"/>
      <c r="L27" s="41"/>
      <c r="M27" s="5"/>
      <c r="N27" s="30"/>
    </row>
    <row r="28" spans="1:14" ht="20.100000000000001" customHeight="1" thickTop="1" thickBot="1" x14ac:dyDescent="0.3">
      <c r="A28" s="42" t="s">
        <v>34</v>
      </c>
      <c r="B28" s="43"/>
      <c r="C28" s="6"/>
      <c r="D28" s="5" t="s">
        <v>34</v>
      </c>
      <c r="E28" s="30"/>
      <c r="F28" s="19"/>
      <c r="G28" s="40"/>
      <c r="H28" s="41"/>
      <c r="I28" s="5" t="s">
        <v>34</v>
      </c>
      <c r="J28" s="30"/>
      <c r="K28" s="40"/>
      <c r="L28" s="41"/>
      <c r="M28" s="5"/>
      <c r="N28" s="30"/>
    </row>
    <row r="29" spans="1:14" ht="20.100000000000001" customHeight="1" thickTop="1" thickBot="1" x14ac:dyDescent="0.3">
      <c r="A29" s="42" t="s">
        <v>34</v>
      </c>
      <c r="B29" s="43"/>
      <c r="C29" s="6"/>
      <c r="D29" s="5" t="s">
        <v>34</v>
      </c>
      <c r="E29" s="30"/>
      <c r="F29" s="19"/>
      <c r="G29" s="40"/>
      <c r="H29" s="41"/>
      <c r="I29" s="5" t="s">
        <v>34</v>
      </c>
      <c r="J29" s="30"/>
      <c r="K29" s="40"/>
      <c r="L29" s="41"/>
      <c r="M29" s="5"/>
      <c r="N29" s="30"/>
    </row>
    <row r="30" spans="1:14" ht="20.100000000000001" customHeight="1" thickTop="1" thickBot="1" x14ac:dyDescent="0.3">
      <c r="A30" s="42"/>
      <c r="B30" s="43"/>
      <c r="C30" s="6"/>
      <c r="D30" s="5" t="s">
        <v>34</v>
      </c>
      <c r="E30" s="30"/>
      <c r="F30" s="19"/>
      <c r="G30" s="40"/>
      <c r="H30" s="41"/>
      <c r="I30" s="5" t="s">
        <v>34</v>
      </c>
      <c r="J30" s="30"/>
      <c r="K30" s="40"/>
      <c r="L30" s="41"/>
      <c r="M30" s="5"/>
      <c r="N30" s="30"/>
    </row>
    <row r="31" spans="1:14" ht="20.100000000000001" customHeight="1" thickTop="1" thickBot="1" x14ac:dyDescent="0.3">
      <c r="A31" s="42"/>
      <c r="B31" s="43"/>
      <c r="C31" s="6"/>
      <c r="D31" s="5" t="s">
        <v>34</v>
      </c>
      <c r="E31" s="30"/>
      <c r="F31" s="19"/>
      <c r="G31" s="40"/>
      <c r="H31" s="41"/>
      <c r="I31" s="5" t="s">
        <v>34</v>
      </c>
      <c r="J31" s="30"/>
      <c r="K31" s="40"/>
      <c r="L31" s="41"/>
      <c r="M31" s="5"/>
      <c r="N31" s="30"/>
    </row>
    <row r="32" spans="1:14" ht="20.100000000000001" customHeight="1" thickTop="1" thickBot="1" x14ac:dyDescent="0.3">
      <c r="A32" s="42"/>
      <c r="B32" s="43"/>
      <c r="C32" s="6"/>
      <c r="D32" s="5" t="s">
        <v>34</v>
      </c>
      <c r="E32" s="30"/>
      <c r="F32" s="19"/>
      <c r="G32" s="40"/>
      <c r="H32" s="41"/>
      <c r="I32" s="5" t="s">
        <v>34</v>
      </c>
      <c r="J32" s="30"/>
      <c r="K32" s="40"/>
      <c r="L32" s="41"/>
      <c r="M32" s="5"/>
      <c r="N32" s="30"/>
    </row>
    <row r="33" spans="1:18" ht="20.100000000000001" customHeight="1" thickTop="1" thickBot="1" x14ac:dyDescent="0.3">
      <c r="A33" s="42"/>
      <c r="B33" s="43"/>
      <c r="C33" s="6"/>
      <c r="D33" s="5" t="s">
        <v>34</v>
      </c>
      <c r="E33" s="30"/>
      <c r="F33" s="19"/>
      <c r="G33" s="40"/>
      <c r="H33" s="41"/>
      <c r="I33" s="5" t="s">
        <v>34</v>
      </c>
      <c r="J33" s="30"/>
      <c r="K33" s="40"/>
      <c r="L33" s="41"/>
      <c r="M33" s="5"/>
      <c r="N33" s="30"/>
    </row>
    <row r="34" spans="1:18" ht="20.100000000000001" customHeight="1" thickTop="1" thickBot="1" x14ac:dyDescent="0.3">
      <c r="A34" s="42"/>
      <c r="B34" s="43"/>
      <c r="C34" s="6"/>
      <c r="D34" s="5" t="s">
        <v>34</v>
      </c>
      <c r="E34" s="30"/>
      <c r="F34" s="19"/>
      <c r="G34" s="40"/>
      <c r="H34" s="41"/>
      <c r="I34" s="5" t="s">
        <v>34</v>
      </c>
      <c r="J34" s="30"/>
      <c r="K34" s="40"/>
      <c r="L34" s="41"/>
      <c r="M34" s="5"/>
      <c r="N34" s="30"/>
      <c r="R34" s="35"/>
    </row>
    <row r="35" spans="1:18" ht="20.100000000000001" customHeight="1" thickTop="1" thickBot="1" x14ac:dyDescent="0.3">
      <c r="A35" s="42"/>
      <c r="B35" s="43"/>
      <c r="C35" s="6"/>
      <c r="D35" s="5" t="s">
        <v>34</v>
      </c>
      <c r="E35" s="30"/>
      <c r="F35" s="19"/>
      <c r="G35" s="40"/>
      <c r="H35" s="41"/>
      <c r="I35" s="5" t="s">
        <v>34</v>
      </c>
      <c r="J35" s="30"/>
      <c r="K35" s="40"/>
      <c r="L35" s="41"/>
      <c r="M35" s="5"/>
      <c r="N35" s="30"/>
    </row>
    <row r="36" spans="1:18" ht="20.100000000000001" customHeight="1" thickTop="1" thickBot="1" x14ac:dyDescent="0.3">
      <c r="A36" s="42"/>
      <c r="B36" s="43"/>
      <c r="C36" s="6"/>
      <c r="D36" s="5" t="s">
        <v>34</v>
      </c>
      <c r="E36" s="30"/>
      <c r="F36" s="19"/>
      <c r="G36" s="40"/>
      <c r="H36" s="41"/>
      <c r="I36" s="5" t="s">
        <v>34</v>
      </c>
      <c r="J36" s="30"/>
      <c r="K36" s="40"/>
      <c r="L36" s="41"/>
      <c r="M36" s="5"/>
      <c r="N36" s="30"/>
    </row>
    <row r="37" spans="1:18" ht="20.100000000000001" customHeight="1" thickTop="1" thickBot="1" x14ac:dyDescent="0.3">
      <c r="A37" s="42"/>
      <c r="B37" s="43"/>
      <c r="C37" s="6"/>
      <c r="D37" s="5" t="s">
        <v>34</v>
      </c>
      <c r="E37" s="30"/>
      <c r="F37" s="19"/>
      <c r="G37" s="40"/>
      <c r="H37" s="41"/>
      <c r="I37" s="5" t="s">
        <v>34</v>
      </c>
      <c r="J37" s="30"/>
      <c r="K37" s="40"/>
      <c r="L37" s="41"/>
      <c r="M37" s="5"/>
      <c r="N37" s="30"/>
    </row>
    <row r="38" spans="1:18" ht="20.100000000000001" customHeight="1" thickTop="1" thickBot="1" x14ac:dyDescent="0.3">
      <c r="A38" s="42"/>
      <c r="B38" s="43"/>
      <c r="C38" s="6"/>
      <c r="D38" s="5" t="s">
        <v>34</v>
      </c>
      <c r="E38" s="30"/>
      <c r="F38" s="19"/>
      <c r="G38" s="40"/>
      <c r="H38" s="41"/>
      <c r="I38" s="5" t="s">
        <v>34</v>
      </c>
      <c r="J38" s="30"/>
      <c r="K38" s="40"/>
      <c r="L38" s="41"/>
      <c r="M38" s="5"/>
      <c r="N38" s="30"/>
    </row>
    <row r="39" spans="1:18" ht="20.100000000000001" customHeight="1" thickTop="1" thickBot="1" x14ac:dyDescent="0.3">
      <c r="A39" s="42"/>
      <c r="B39" s="43"/>
      <c r="C39" s="6"/>
      <c r="D39" s="5" t="s">
        <v>34</v>
      </c>
      <c r="E39" s="30"/>
      <c r="F39" s="19"/>
      <c r="G39" s="40"/>
      <c r="H39" s="41"/>
      <c r="I39" s="5" t="s">
        <v>34</v>
      </c>
      <c r="J39" s="30"/>
      <c r="K39" s="40"/>
      <c r="L39" s="41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0.46350000000000002</v>
      </c>
      <c r="D40" s="5"/>
      <c r="E40" s="31">
        <f>SUM(E12:E39,N18,N19)*C40</f>
        <v>1473.93</v>
      </c>
      <c r="F40" s="19"/>
      <c r="G40" s="40"/>
      <c r="H40" s="41"/>
      <c r="I40" s="5" t="s">
        <v>34</v>
      </c>
      <c r="J40" s="30"/>
      <c r="K40" s="40"/>
      <c r="L40" s="41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243.26999999999998</v>
      </c>
      <c r="F41" s="20"/>
      <c r="G41" s="54"/>
      <c r="H41" s="55"/>
      <c r="I41" s="9"/>
      <c r="J41" s="33"/>
      <c r="K41" s="54"/>
      <c r="L41" s="55"/>
      <c r="M41" s="9"/>
      <c r="N41" s="30"/>
    </row>
    <row r="42" spans="1:18" ht="20.100000000000001" customHeight="1" thickTop="1" x14ac:dyDescent="0.2">
      <c r="A42" s="56" t="s">
        <v>5</v>
      </c>
      <c r="B42" s="57"/>
      <c r="C42" s="57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</row>
    <row r="43" spans="1:18" ht="20.100000000000001" customHeight="1" x14ac:dyDescent="0.2">
      <c r="A43" s="71" t="s">
        <v>41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3"/>
    </row>
    <row r="44" spans="1:18" ht="20.100000000000001" customHeight="1" x14ac:dyDescent="0.2">
      <c r="A44" s="48" t="s">
        <v>42</v>
      </c>
      <c r="B44" s="49"/>
      <c r="C44" s="49"/>
      <c r="D44" s="49"/>
      <c r="E44" s="49"/>
      <c r="F44" s="49"/>
      <c r="G44" s="49"/>
      <c r="H44" s="49"/>
      <c r="I44" s="49"/>
      <c r="J44" s="49"/>
      <c r="K44" s="74"/>
      <c r="L44" s="74"/>
      <c r="M44" s="74"/>
      <c r="N44" s="75"/>
    </row>
    <row r="45" spans="1:18" ht="20.100000000000001" customHeight="1" x14ac:dyDescent="0.2">
      <c r="A45" s="48" t="s">
        <v>43</v>
      </c>
      <c r="B45" s="49"/>
      <c r="C45" s="49"/>
      <c r="D45" s="49"/>
      <c r="E45" s="49"/>
      <c r="F45" s="49"/>
      <c r="G45" s="49"/>
      <c r="H45" s="49"/>
      <c r="I45" s="49"/>
      <c r="J45" s="49"/>
      <c r="K45" s="74"/>
      <c r="L45" s="74"/>
      <c r="M45" s="74"/>
      <c r="N45" s="75"/>
    </row>
    <row r="46" spans="1:18" ht="27.95" customHeight="1" x14ac:dyDescent="0.2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50"/>
      <c r="L46" s="50"/>
      <c r="M46" s="50"/>
      <c r="N46" s="5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</mergeCells>
  <phoneticPr fontId="0" type="noConversion"/>
  <printOptions horizontalCentered="1" verticalCentered="1"/>
  <pageMargins left="0.5" right="0.5" top="0.25" bottom="0" header="0" footer="0"/>
  <pageSetup scale="58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2015-11-11T22:45:33Z</cp:lastPrinted>
  <dcterms:created xsi:type="dcterms:W3CDTF">2007-06-15T20:21:01Z</dcterms:created>
  <dcterms:modified xsi:type="dcterms:W3CDTF">2015-12-21T18:55:30Z</dcterms:modified>
</cp:coreProperties>
</file>