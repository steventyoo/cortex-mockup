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COR" sheetId="5" r:id="rId2"/>
    <sheet name="Sheet2" sheetId="2" r:id="rId3"/>
    <sheet name="Sheet3" sheetId="3" r:id="rId4"/>
  </sheets>
  <definedNames>
    <definedName name="_xlnm.Print_Area" localSheetId="1">COR!$A$1:$L$28</definedName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13" i="1" l="1"/>
  <c r="E12" i="1"/>
  <c r="E18" i="1"/>
  <c r="F16" i="5"/>
  <c r="J18" i="5"/>
  <c r="J23" i="5" s="1"/>
  <c r="F19" i="5"/>
  <c r="F23" i="5" s="1"/>
  <c r="F20" i="5"/>
  <c r="J20" i="5"/>
  <c r="F21" i="5"/>
  <c r="F22" i="5"/>
  <c r="K23" i="5"/>
  <c r="L23" i="5"/>
  <c r="L25" i="5" l="1"/>
  <c r="J24" i="5"/>
  <c r="J25" i="5" s="1"/>
  <c r="F24" i="5"/>
  <c r="F25" i="5"/>
  <c r="L24" i="5"/>
  <c r="E41" i="1"/>
  <c r="E40" i="1"/>
  <c r="B28" i="5" l="1"/>
</calcChain>
</file>

<file path=xl/sharedStrings.xml><?xml version="1.0" encoding="utf-8"?>
<sst xmlns="http://schemas.openxmlformats.org/spreadsheetml/2006/main" count="132" uniqueCount="72">
  <si>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</si>
  <si>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</si>
  <si>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</si>
  <si>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</si>
  <si>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</si>
  <si>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</si>
  <si>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</si>
  <si>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</si>
  <si>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</si>
  <si>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</si>
  <si>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</si>
  <si>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</si>
  <si>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</si>
  <si>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</si>
  <si>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</si>
  <si>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</si>
  <si>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</si>
  <si>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</si>
  <si>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</si>
  <si>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</si>
  <si>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</si>
  <si>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</si>
  <si>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</si>
  <si>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</si>
  <si>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</si>
  <si>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</si>
  <si>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</si>
  <si>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</si>
  <si>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</si>
  <si>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</si>
  <si>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</si>
  <si>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</si>
  <si>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</si>
  <si>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</si>
  <si>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</si>
  <si>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</si>
  <si>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</si>
  <si>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</si>
  <si>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</si>
  <si>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</si>
  <si>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</si>
  <si>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Total this page</t>
  </si>
  <si>
    <t>Totals</t>
  </si>
  <si>
    <t>OH &amp; Profit</t>
  </si>
  <si>
    <t>Subtotals</t>
  </si>
  <si>
    <t>HRS</t>
  </si>
  <si>
    <t>LS</t>
  </si>
  <si>
    <t>Total</t>
  </si>
  <si>
    <t>UOM</t>
  </si>
  <si>
    <t>Unit Cost</t>
  </si>
  <si>
    <t>Quan</t>
  </si>
  <si>
    <t>Description</t>
  </si>
  <si>
    <t>Item</t>
  </si>
  <si>
    <t>SUB TIER</t>
  </si>
  <si>
    <t>Material</t>
  </si>
  <si>
    <t>Material/Equipment</t>
  </si>
  <si>
    <t>Labor</t>
  </si>
  <si>
    <t>EA</t>
  </si>
  <si>
    <t>AS-BUILTING</t>
  </si>
  <si>
    <t>DESCRIPTION OF CHANGE/WORK PERFORMED</t>
  </si>
  <si>
    <t>RFI/ASI:</t>
  </si>
  <si>
    <t>DATE:</t>
  </si>
  <si>
    <t>2023 LEGACY APARTMENTS</t>
  </si>
  <si>
    <t>PROJECT:</t>
  </si>
  <si>
    <t>Change Order 17</t>
  </si>
  <si>
    <t>Re-align boiler flues</t>
  </si>
  <si>
    <t>CAP UN-USED PENETRATIONS</t>
  </si>
  <si>
    <t>INSTALL LINK SEALS</t>
  </si>
  <si>
    <t>LINK SEALS</t>
  </si>
  <si>
    <t>CORE DRILLER</t>
  </si>
  <si>
    <t>COORDINATION/LAYOUT</t>
  </si>
  <si>
    <t>RFI-245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</si>
</sst>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&quot;$&quot;#,##0;[Red]\(&quot;$&quot;#,##0\)"/>
    <numFmt numFmtId="167" formatCode="0_);[Red]\(0\)"/>
  </numFmts>
  <fonts count="25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  <font>
      <b/>
      <sz val="10"/>
      <name val="Arial"/>
      <family val="2"/>
    </font>
    <font>
      <b/>
      <sz val="10"/>
      <name val="MS Sans Serif"/>
      <family val="2"/>
    </font>
    <font>
      <b/>
      <sz val="10"/>
      <color rgb="FFFF0000"/>
      <name val="MS Sans Serif"/>
      <family val="2"/>
    </font>
    <font>
      <b/>
      <sz val="10"/>
      <name val="MS Sans Serif"/>
    </font>
    <font>
      <sz val="8"/>
      <name val="Arial"/>
      <family val="2"/>
    </font>
    <font>
      <b/>
      <sz val="18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7" fillId="0" borderId="0"/>
    <xf numFmtId="8" fontId="18" fillId="0" borderId="0" applyFont="0" applyFill="0" applyBorder="0" applyAlignment="0" applyProtection="0"/>
    <xf numFmtId="0" fontId="12" fillId="0" borderId="0"/>
  </cellStyleXfs>
  <cellXfs count="149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0" fontId="17" fillId="0" borderId="0" xfId="1"/>
    <xf numFmtId="0" fontId="17" fillId="0" borderId="0" xfId="1" applyAlignment="1">
      <alignment horizontal="center"/>
    </xf>
    <xf numFmtId="6" fontId="19" fillId="2" borderId="30" xfId="2" applyNumberFormat="1" applyFont="1" applyFill="1" applyBorder="1"/>
    <xf numFmtId="0" fontId="19" fillId="2" borderId="31" xfId="1" applyFont="1" applyFill="1" applyBorder="1"/>
    <xf numFmtId="166" fontId="17" fillId="0" borderId="0" xfId="1" applyNumberFormat="1" applyFill="1"/>
    <xf numFmtId="166" fontId="17" fillId="0" borderId="0" xfId="1" applyNumberFormat="1" applyFill="1" applyBorder="1"/>
    <xf numFmtId="0" fontId="20" fillId="0" borderId="0" xfId="1" applyFont="1" applyFill="1" applyAlignment="1">
      <alignment horizontal="right"/>
    </xf>
    <xf numFmtId="0" fontId="17" fillId="0" borderId="0" xfId="1" applyFill="1"/>
    <xf numFmtId="0" fontId="19" fillId="0" borderId="0" xfId="1" applyFont="1" applyAlignment="1">
      <alignment horizontal="right"/>
    </xf>
    <xf numFmtId="6" fontId="19" fillId="2" borderId="0" xfId="2" applyNumberFormat="1" applyFont="1" applyFill="1"/>
    <xf numFmtId="0" fontId="20" fillId="0" borderId="0" xfId="1" applyFont="1"/>
    <xf numFmtId="166" fontId="19" fillId="2" borderId="0" xfId="2" applyNumberFormat="1" applyFont="1" applyFill="1"/>
    <xf numFmtId="0" fontId="20" fillId="0" borderId="0" xfId="1" applyFont="1" applyAlignment="1">
      <alignment horizontal="right"/>
    </xf>
    <xf numFmtId="6" fontId="12" fillId="0" borderId="0" xfId="2" applyNumberFormat="1" applyFont="1"/>
    <xf numFmtId="9" fontId="21" fillId="0" borderId="0" xfId="1" applyNumberFormat="1" applyFont="1"/>
    <xf numFmtId="166" fontId="12" fillId="0" borderId="0" xfId="2" applyNumberFormat="1" applyFont="1"/>
    <xf numFmtId="8" fontId="12" fillId="0" borderId="0" xfId="2" applyFont="1" applyAlignment="1">
      <alignment horizontal="right"/>
    </xf>
    <xf numFmtId="166" fontId="17" fillId="0" borderId="0" xfId="1" applyNumberFormat="1"/>
    <xf numFmtId="8" fontId="22" fillId="0" borderId="0" xfId="1" applyNumberFormat="1" applyFont="1"/>
    <xf numFmtId="44" fontId="23" fillId="0" borderId="32" xfId="1" applyNumberFormat="1" applyFont="1" applyBorder="1" applyAlignment="1">
      <alignment vertical="top" wrapText="1"/>
    </xf>
    <xf numFmtId="167" fontId="23" fillId="0" borderId="32" xfId="1" applyNumberFormat="1" applyFont="1" applyBorder="1" applyAlignment="1">
      <alignment vertical="top" wrapText="1"/>
    </xf>
    <xf numFmtId="166" fontId="23" fillId="0" borderId="32" xfId="1" applyNumberFormat="1" applyFont="1" applyBorder="1" applyAlignment="1">
      <alignment vertical="top" wrapText="1"/>
    </xf>
    <xf numFmtId="164" fontId="23" fillId="0" borderId="32" xfId="1" applyNumberFormat="1" applyFont="1" applyBorder="1" applyAlignment="1">
      <alignment vertical="top" wrapText="1"/>
    </xf>
    <xf numFmtId="0" fontId="23" fillId="0" borderId="32" xfId="1" applyFont="1" applyBorder="1" applyAlignment="1">
      <alignment horizontal="center" vertical="top" wrapText="1"/>
    </xf>
    <xf numFmtId="0" fontId="23" fillId="0" borderId="32" xfId="1" applyFont="1" applyBorder="1" applyAlignment="1">
      <alignment horizontal="left" vertical="top"/>
    </xf>
    <xf numFmtId="0" fontId="23" fillId="0" borderId="32" xfId="1" applyFont="1" applyBorder="1" applyAlignment="1">
      <alignment vertical="top" wrapText="1"/>
    </xf>
    <xf numFmtId="0" fontId="23" fillId="0" borderId="32" xfId="1" applyFont="1" applyBorder="1" applyAlignment="1">
      <alignment horizontal="left" vertical="top" wrapText="1"/>
    </xf>
    <xf numFmtId="0" fontId="17" fillId="0" borderId="19" xfId="1" applyBorder="1" applyAlignment="1">
      <alignment horizontal="center"/>
    </xf>
    <xf numFmtId="165" fontId="17" fillId="0" borderId="19" xfId="1" applyNumberFormat="1" applyBorder="1" applyAlignment="1">
      <alignment horizontal="center"/>
    </xf>
    <xf numFmtId="0" fontId="20" fillId="0" borderId="19" xfId="1" applyFont="1" applyBorder="1" applyAlignment="1">
      <alignment horizontal="center"/>
    </xf>
    <xf numFmtId="0" fontId="20" fillId="0" borderId="33" xfId="1" applyFont="1" applyBorder="1" applyAlignment="1">
      <alignment horizontal="center"/>
    </xf>
    <xf numFmtId="0" fontId="17" fillId="3" borderId="22" xfId="1" applyFill="1" applyBorder="1" applyAlignment="1">
      <alignment horizontal="centerContinuous"/>
    </xf>
    <xf numFmtId="0" fontId="19" fillId="3" borderId="20" xfId="1" applyFont="1" applyFill="1" applyBorder="1" applyAlignment="1">
      <alignment horizontal="centerContinuous"/>
    </xf>
    <xf numFmtId="165" fontId="19" fillId="4" borderId="20" xfId="1" applyNumberFormat="1" applyFont="1" applyFill="1" applyBorder="1" applyAlignment="1">
      <alignment horizontal="center"/>
    </xf>
    <xf numFmtId="0" fontId="17" fillId="4" borderId="20" xfId="1" applyFill="1" applyBorder="1" applyAlignment="1">
      <alignment horizontal="centerContinuous"/>
    </xf>
    <xf numFmtId="0" fontId="19" fillId="4" borderId="20" xfId="1" applyFont="1" applyFill="1" applyBorder="1" applyAlignment="1">
      <alignment horizontal="centerContinuous"/>
    </xf>
    <xf numFmtId="0" fontId="17" fillId="0" borderId="34" xfId="1" applyBorder="1"/>
    <xf numFmtId="0" fontId="17" fillId="0" borderId="35" xfId="1" applyBorder="1"/>
    <xf numFmtId="0" fontId="12" fillId="0" borderId="0" xfId="3" applyFont="1" applyAlignment="1">
      <alignment vertical="center"/>
    </xf>
    <xf numFmtId="14" fontId="19" fillId="0" borderId="18" xfId="3" applyNumberFormat="1" applyFont="1" applyFill="1" applyBorder="1" applyAlignment="1" applyProtection="1">
      <alignment horizontal="center" vertical="center"/>
    </xf>
    <xf numFmtId="0" fontId="12" fillId="0" borderId="0" xfId="3" applyFont="1" applyAlignment="1">
      <alignment horizontal="center"/>
    </xf>
    <xf numFmtId="0" fontId="19" fillId="0" borderId="0" xfId="3" applyFont="1" applyBorder="1" applyAlignment="1">
      <alignment horizontal="left" vertical="center"/>
    </xf>
    <xf numFmtId="0" fontId="19" fillId="0" borderId="36" xfId="3" applyFont="1" applyBorder="1" applyAlignment="1">
      <alignment horizontal="left"/>
    </xf>
    <xf numFmtId="0" fontId="19" fillId="0" borderId="37" xfId="3" applyFont="1" applyBorder="1" applyAlignment="1">
      <alignment horizontal="left"/>
    </xf>
    <xf numFmtId="14" fontId="19" fillId="0" borderId="37" xfId="3" applyNumberFormat="1" applyFont="1" applyBorder="1" applyAlignment="1">
      <alignment horizontal="left"/>
    </xf>
    <xf numFmtId="0" fontId="12" fillId="0" borderId="37" xfId="3" applyFont="1" applyBorder="1" applyAlignment="1">
      <alignment horizontal="center"/>
    </xf>
    <xf numFmtId="0" fontId="19" fillId="0" borderId="37" xfId="3" applyFont="1" applyBorder="1" applyAlignment="1">
      <alignment horizontal="left" vertical="center"/>
    </xf>
    <xf numFmtId="0" fontId="17" fillId="0" borderId="37" xfId="1" applyBorder="1"/>
    <xf numFmtId="0" fontId="17" fillId="0" borderId="37" xfId="1" applyBorder="1" applyAlignment="1">
      <alignment horizontal="center"/>
    </xf>
    <xf numFmtId="0" fontId="17" fillId="0" borderId="38" xfId="1" applyBorder="1"/>
    <xf numFmtId="0" fontId="19" fillId="0" borderId="39" xfId="3" applyFont="1" applyBorder="1" applyAlignment="1">
      <alignment horizontal="left"/>
    </xf>
    <xf numFmtId="0" fontId="12" fillId="0" borderId="0" xfId="3" applyFont="1" applyBorder="1" applyAlignment="1">
      <alignment horizontal="center"/>
    </xf>
    <xf numFmtId="0" fontId="17" fillId="0" borderId="0" xfId="1" applyBorder="1"/>
    <xf numFmtId="0" fontId="17" fillId="0" borderId="0" xfId="1" applyBorder="1" applyAlignment="1">
      <alignment horizontal="center"/>
    </xf>
    <xf numFmtId="0" fontId="17" fillId="0" borderId="40" xfId="1" applyBorder="1"/>
    <xf numFmtId="0" fontId="19" fillId="0" borderId="0" xfId="3" quotePrefix="1" applyNumberFormat="1" applyFont="1" applyBorder="1" applyAlignment="1">
      <alignment horizontal="left"/>
    </xf>
    <xf numFmtId="0" fontId="19" fillId="0" borderId="0" xfId="3" applyFont="1" applyBorder="1" applyAlignment="1">
      <alignment horizontal="right" vertical="center"/>
    </xf>
    <xf numFmtId="0" fontId="19" fillId="0" borderId="0" xfId="3" applyFont="1" applyBorder="1" applyAlignment="1">
      <alignment horizontal="left"/>
    </xf>
    <xf numFmtId="14" fontId="19" fillId="0" borderId="0" xfId="3" applyNumberFormat="1" applyFont="1" applyBorder="1" applyAlignment="1">
      <alignment horizontal="left"/>
    </xf>
    <xf numFmtId="0" fontId="19" fillId="0" borderId="0" xfId="3" applyFont="1" applyAlignment="1">
      <alignment horizontal="right"/>
    </xf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19" fillId="5" borderId="32" xfId="1" applyFont="1" applyFill="1" applyBorder="1" applyAlignment="1">
      <alignment horizontal="center"/>
    </xf>
    <xf numFmtId="0" fontId="19" fillId="0" borderId="0" xfId="3" applyFont="1" applyBorder="1" applyAlignment="1">
      <alignment horizontal="left"/>
    </xf>
    <xf numFmtId="14" fontId="19" fillId="0" borderId="0" xfId="3" applyNumberFormat="1" applyFont="1" applyBorder="1" applyAlignment="1">
      <alignment horizontal="left"/>
    </xf>
    <xf numFmtId="0" fontId="24" fillId="0" borderId="37" xfId="1" applyFont="1" applyBorder="1" applyAlignment="1">
      <alignment horizontal="center"/>
    </xf>
    <xf numFmtId="0" fontId="20" fillId="6" borderId="43" xfId="1" applyFont="1" applyFill="1" applyBorder="1" applyAlignment="1">
      <alignment horizontal="center" vertical="center"/>
    </xf>
    <xf numFmtId="0" fontId="20" fillId="6" borderId="42" xfId="1" applyFont="1" applyFill="1" applyBorder="1" applyAlignment="1">
      <alignment horizontal="center" vertical="center"/>
    </xf>
    <xf numFmtId="0" fontId="20" fillId="6" borderId="41" xfId="1" applyFont="1" applyFill="1" applyBorder="1" applyAlignment="1">
      <alignment horizontal="center" vertical="center"/>
    </xf>
    <xf numFmtId="0" fontId="20" fillId="6" borderId="40" xfId="1" applyFont="1" applyFill="1" applyBorder="1" applyAlignment="1">
      <alignment horizontal="center" vertical="center"/>
    </xf>
    <xf numFmtId="0" fontId="20" fillId="6" borderId="0" xfId="1" applyFont="1" applyFill="1" applyBorder="1" applyAlignment="1">
      <alignment horizontal="center" vertical="center"/>
    </xf>
    <xf numFmtId="0" fontId="20" fillId="6" borderId="39" xfId="1" applyFont="1" applyFill="1" applyBorder="1" applyAlignment="1">
      <alignment horizontal="center" vertical="center"/>
    </xf>
    <xf numFmtId="0" fontId="20" fillId="6" borderId="38" xfId="1" applyFont="1" applyFill="1" applyBorder="1" applyAlignment="1">
      <alignment horizontal="center" vertical="center"/>
    </xf>
    <xf numFmtId="0" fontId="20" fillId="6" borderId="37" xfId="1" applyFont="1" applyFill="1" applyBorder="1" applyAlignment="1">
      <alignment horizontal="center" vertical="center"/>
    </xf>
    <xf numFmtId="0" fontId="20" fillId="6" borderId="36" xfId="1" applyFont="1" applyFill="1" applyBorder="1" applyAlignment="1">
      <alignment horizontal="center" vertical="center"/>
    </xf>
  </cellXfs>
  <cellStyles count="4">
    <cellStyle name="Currency 2" xfId="2"/>
    <cellStyle name="Normal" xfId="0" builtinId="0"/>
    <cellStyle name="Normal 2" xfId="1"/>
    <cellStyle name="Normal_Lake Hills RF 033 8.06.0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2" name="Text Box 2"/>
        <xdr:cNvSpPr txBox="1">
          <a:spLocks noChangeArrowheads="1"/>
        </xdr:cNvSpPr>
      </xdr:nvSpPr>
      <xdr:spPr bwMode="auto">
        <a:xfrm>
          <a:off x="0" y="1133475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RFI-245 Costs	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80" zoomScaleNormal="100" zoomScaleSheetLayoutView="80" workbookViewId="0">
      <selection activeCell="C19" sqref="C19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97" t="s">
        <v>31</v>
      </c>
      <c r="H2" s="98"/>
      <c r="I2" s="98"/>
      <c r="J2" s="98"/>
      <c r="K2" s="98"/>
      <c r="L2" s="98"/>
      <c r="M2" s="124"/>
      <c r="N2" s="124"/>
    </row>
    <row r="3" spans="1:14" ht="12.75" customHeight="1" x14ac:dyDescent="0.2">
      <c r="A3" s="27"/>
      <c r="B3" s="27"/>
      <c r="C3" s="4"/>
      <c r="D3" s="4"/>
      <c r="E3" s="4"/>
      <c r="F3" s="3"/>
      <c r="G3" s="98"/>
      <c r="H3" s="98"/>
      <c r="I3" s="98"/>
      <c r="J3" s="98"/>
      <c r="K3" s="98"/>
      <c r="L3" s="98"/>
    </row>
    <row r="4" spans="1:14" ht="27.6" customHeight="1" x14ac:dyDescent="0.2">
      <c r="A4" s="99" t="s">
        <v>0</v>
      </c>
      <c r="B4" s="99"/>
      <c r="C4" s="96">
        <v>2023</v>
      </c>
      <c r="D4" s="96"/>
      <c r="E4" s="96"/>
      <c r="F4" s="4"/>
      <c r="G4" s="4"/>
      <c r="H4" s="4"/>
      <c r="I4" s="4"/>
      <c r="J4" s="4"/>
      <c r="K4" s="4"/>
    </row>
    <row r="5" spans="1:14" ht="28.9" customHeight="1" x14ac:dyDescent="0.2">
      <c r="A5" s="112" t="s">
        <v>4</v>
      </c>
      <c r="B5" s="112"/>
      <c r="C5" s="96" t="s">
        <v>40</v>
      </c>
      <c r="D5" s="96"/>
      <c r="E5" s="96"/>
      <c r="F5" s="96"/>
      <c r="G5" s="96"/>
      <c r="H5" s="96"/>
      <c r="I5" s="4"/>
      <c r="J5" s="4"/>
      <c r="K5" s="4"/>
    </row>
    <row r="6" spans="1:14" ht="27" customHeight="1" x14ac:dyDescent="0.2">
      <c r="A6" s="112" t="s">
        <v>1</v>
      </c>
      <c r="B6" s="112"/>
      <c r="C6" s="119" t="s">
        <v>39</v>
      </c>
      <c r="D6" s="119"/>
      <c r="E6" s="119"/>
      <c r="F6" s="119"/>
      <c r="G6" s="119"/>
      <c r="H6" s="119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112" t="s">
        <v>21</v>
      </c>
      <c r="B8" s="113"/>
      <c r="C8" s="120">
        <v>999</v>
      </c>
      <c r="D8" s="121"/>
      <c r="E8" s="28">
        <v>1617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128"/>
      <c r="B9" s="128"/>
      <c r="D9" s="2" t="s">
        <v>2</v>
      </c>
    </row>
    <row r="10" spans="1:14" ht="20.100000000000001" customHeight="1" thickTop="1" x14ac:dyDescent="0.3">
      <c r="A10" s="129"/>
      <c r="B10" s="129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125" t="s">
        <v>6</v>
      </c>
      <c r="B11" s="125"/>
      <c r="C11" s="130"/>
      <c r="D11" s="15" t="s">
        <v>2</v>
      </c>
      <c r="E11" s="15" t="s">
        <v>22</v>
      </c>
      <c r="F11" s="15"/>
      <c r="G11" s="125" t="s">
        <v>19</v>
      </c>
      <c r="H11" s="125"/>
      <c r="I11" s="15" t="s">
        <v>2</v>
      </c>
      <c r="J11" s="15" t="s">
        <v>22</v>
      </c>
      <c r="K11" s="125" t="s">
        <v>23</v>
      </c>
      <c r="L11" s="125"/>
      <c r="M11" s="15" t="s">
        <v>2</v>
      </c>
      <c r="N11" s="15" t="s">
        <v>22</v>
      </c>
    </row>
    <row r="12" spans="1:14" ht="23.45" customHeight="1" thickTop="1" thickBot="1" x14ac:dyDescent="0.35">
      <c r="A12" s="122" t="s">
        <v>3</v>
      </c>
      <c r="B12" s="123"/>
      <c r="C12" s="13"/>
      <c r="D12" s="14">
        <v>100</v>
      </c>
      <c r="E12" s="30">
        <f>2*35</f>
        <v>70</v>
      </c>
      <c r="F12" s="18"/>
      <c r="G12" s="126"/>
      <c r="H12" s="127"/>
      <c r="I12" s="14"/>
      <c r="J12" s="32"/>
      <c r="K12" s="126"/>
      <c r="L12" s="127"/>
      <c r="M12" s="14"/>
      <c r="N12" s="34"/>
    </row>
    <row r="13" spans="1:14" ht="23.45" customHeight="1" thickTop="1" thickBot="1" x14ac:dyDescent="0.3">
      <c r="A13" s="102" t="s">
        <v>15</v>
      </c>
      <c r="B13" s="103"/>
      <c r="C13" s="6"/>
      <c r="D13" s="5">
        <v>101</v>
      </c>
      <c r="E13" s="30">
        <f>3*45</f>
        <v>135</v>
      </c>
      <c r="F13" s="19"/>
      <c r="G13" s="104" t="s">
        <v>17</v>
      </c>
      <c r="H13" s="105"/>
      <c r="I13" s="5">
        <v>210</v>
      </c>
      <c r="J13" s="30"/>
      <c r="K13" s="104" t="s">
        <v>24</v>
      </c>
      <c r="L13" s="105"/>
      <c r="M13" s="5">
        <v>600</v>
      </c>
      <c r="N13" s="30">
        <v>680</v>
      </c>
    </row>
    <row r="14" spans="1:14" ht="23.45" customHeight="1" thickTop="1" thickBot="1" x14ac:dyDescent="0.3">
      <c r="A14" s="102" t="s">
        <v>17</v>
      </c>
      <c r="B14" s="103"/>
      <c r="C14" s="6"/>
      <c r="D14" s="5">
        <v>110</v>
      </c>
      <c r="E14" s="30"/>
      <c r="F14" s="19"/>
      <c r="G14" s="104" t="s">
        <v>10</v>
      </c>
      <c r="H14" s="105"/>
      <c r="I14" s="5">
        <v>211</v>
      </c>
      <c r="J14" s="30"/>
      <c r="K14" s="104" t="s">
        <v>25</v>
      </c>
      <c r="L14" s="105"/>
      <c r="M14" s="5">
        <v>601</v>
      </c>
      <c r="N14" s="30"/>
    </row>
    <row r="15" spans="1:14" ht="23.45" customHeight="1" thickTop="1" thickBot="1" x14ac:dyDescent="0.3">
      <c r="A15" s="102" t="s">
        <v>37</v>
      </c>
      <c r="B15" s="103"/>
      <c r="C15" s="6"/>
      <c r="D15" s="5">
        <v>111</v>
      </c>
      <c r="E15" s="30"/>
      <c r="F15" s="19"/>
      <c r="G15" s="104" t="s">
        <v>11</v>
      </c>
      <c r="H15" s="105"/>
      <c r="I15" s="5">
        <v>212</v>
      </c>
      <c r="J15" s="30"/>
      <c r="K15" s="104" t="s">
        <v>26</v>
      </c>
      <c r="L15" s="105"/>
      <c r="M15" s="5">
        <v>602</v>
      </c>
      <c r="N15" s="30"/>
    </row>
    <row r="16" spans="1:14" ht="23.45" customHeight="1" thickTop="1" thickBot="1" x14ac:dyDescent="0.3">
      <c r="A16" s="102" t="s">
        <v>36</v>
      </c>
      <c r="B16" s="103"/>
      <c r="C16" s="6"/>
      <c r="D16" s="5">
        <v>112</v>
      </c>
      <c r="E16" s="30"/>
      <c r="F16" s="19"/>
      <c r="G16" s="104" t="s">
        <v>12</v>
      </c>
      <c r="H16" s="105"/>
      <c r="I16" s="5">
        <v>213</v>
      </c>
      <c r="J16" s="30"/>
      <c r="K16" s="104" t="s">
        <v>27</v>
      </c>
      <c r="L16" s="105"/>
      <c r="M16" s="5">
        <v>603</v>
      </c>
      <c r="N16" s="30"/>
    </row>
    <row r="17" spans="1:14" ht="23.45" customHeight="1" thickTop="1" thickBot="1" x14ac:dyDescent="0.3">
      <c r="A17" s="102" t="s">
        <v>12</v>
      </c>
      <c r="B17" s="103"/>
      <c r="C17" s="6"/>
      <c r="D17" s="5">
        <v>113</v>
      </c>
      <c r="E17" s="30"/>
      <c r="F17" s="19"/>
      <c r="G17" s="104" t="s">
        <v>7</v>
      </c>
      <c r="H17" s="105"/>
      <c r="I17" s="5">
        <v>220</v>
      </c>
      <c r="J17" s="30">
        <v>100</v>
      </c>
      <c r="K17" s="104" t="s">
        <v>28</v>
      </c>
      <c r="L17" s="105"/>
      <c r="M17" s="5">
        <v>604</v>
      </c>
      <c r="N17" s="30"/>
    </row>
    <row r="18" spans="1:14" ht="23.45" customHeight="1" thickTop="1" thickBot="1" x14ac:dyDescent="0.3">
      <c r="A18" s="102" t="s">
        <v>35</v>
      </c>
      <c r="B18" s="103"/>
      <c r="C18" s="6"/>
      <c r="D18" s="5">
        <v>120</v>
      </c>
      <c r="E18" s="30">
        <f>6*25</f>
        <v>150</v>
      </c>
      <c r="F18" s="19"/>
      <c r="G18" s="104" t="s">
        <v>8</v>
      </c>
      <c r="H18" s="105"/>
      <c r="I18" s="5">
        <v>230</v>
      </c>
      <c r="J18" s="30"/>
      <c r="K18" s="104" t="s">
        <v>34</v>
      </c>
      <c r="L18" s="105"/>
      <c r="M18" s="5" t="s">
        <v>34</v>
      </c>
      <c r="N18" s="30"/>
    </row>
    <row r="19" spans="1:14" ht="23.45" customHeight="1" thickTop="1" thickBot="1" x14ac:dyDescent="0.3">
      <c r="A19" s="102" t="s">
        <v>8</v>
      </c>
      <c r="B19" s="103"/>
      <c r="C19" s="6"/>
      <c r="D19" s="5">
        <v>130</v>
      </c>
      <c r="E19" s="30"/>
      <c r="F19" s="19"/>
      <c r="G19" s="104" t="s">
        <v>38</v>
      </c>
      <c r="H19" s="105"/>
      <c r="I19" s="5">
        <v>240</v>
      </c>
      <c r="J19" s="30"/>
      <c r="K19" s="104" t="s">
        <v>29</v>
      </c>
      <c r="L19" s="105"/>
      <c r="M19" s="5">
        <v>606</v>
      </c>
      <c r="N19" s="30"/>
    </row>
    <row r="20" spans="1:14" ht="23.45" customHeight="1" thickTop="1" thickBot="1" x14ac:dyDescent="0.3">
      <c r="A20" s="102" t="s">
        <v>9</v>
      </c>
      <c r="B20" s="103"/>
      <c r="C20" s="6"/>
      <c r="D20" s="5">
        <v>140</v>
      </c>
      <c r="E20" s="30"/>
      <c r="F20" s="19"/>
      <c r="G20" s="104" t="s">
        <v>20</v>
      </c>
      <c r="H20" s="105"/>
      <c r="I20" s="5">
        <v>241</v>
      </c>
      <c r="J20" s="30"/>
      <c r="K20" s="104" t="s">
        <v>30</v>
      </c>
      <c r="L20" s="105"/>
      <c r="M20" s="5">
        <v>607</v>
      </c>
      <c r="N20" s="30"/>
    </row>
    <row r="21" spans="1:14" ht="23.45" customHeight="1" thickTop="1" thickBot="1" x14ac:dyDescent="0.3">
      <c r="A21" s="102" t="s">
        <v>20</v>
      </c>
      <c r="B21" s="103"/>
      <c r="C21" s="6"/>
      <c r="D21" s="5">
        <v>141</v>
      </c>
      <c r="E21" s="30"/>
      <c r="F21" s="19"/>
      <c r="G21" s="104" t="s">
        <v>16</v>
      </c>
      <c r="H21" s="105"/>
      <c r="I21" s="5">
        <v>242</v>
      </c>
      <c r="J21" s="30"/>
      <c r="K21" s="104"/>
      <c r="L21" s="105"/>
      <c r="M21" s="5"/>
      <c r="N21" s="30"/>
    </row>
    <row r="22" spans="1:14" ht="23.45" customHeight="1" thickTop="1" thickBot="1" x14ac:dyDescent="0.3">
      <c r="A22" s="102" t="s">
        <v>16</v>
      </c>
      <c r="B22" s="103"/>
      <c r="C22" s="6"/>
      <c r="D22" s="5">
        <v>142</v>
      </c>
      <c r="E22" s="30"/>
      <c r="F22" s="19"/>
      <c r="G22" s="104" t="s">
        <v>32</v>
      </c>
      <c r="H22" s="105"/>
      <c r="I22" s="5">
        <v>243</v>
      </c>
      <c r="J22" s="30"/>
      <c r="K22" s="104"/>
      <c r="L22" s="105"/>
      <c r="M22" s="5"/>
      <c r="N22" s="30"/>
    </row>
    <row r="23" spans="1:14" ht="23.45" customHeight="1" thickTop="1" thickBot="1" x14ac:dyDescent="0.3">
      <c r="A23" s="102" t="s">
        <v>32</v>
      </c>
      <c r="B23" s="103"/>
      <c r="C23" s="6"/>
      <c r="D23" s="5">
        <v>143</v>
      </c>
      <c r="E23" s="30"/>
      <c r="F23" s="19"/>
      <c r="G23" s="104" t="s">
        <v>33</v>
      </c>
      <c r="H23" s="105"/>
      <c r="I23" s="5">
        <v>244</v>
      </c>
      <c r="J23" s="30"/>
      <c r="K23" s="104"/>
      <c r="L23" s="105"/>
      <c r="M23" s="5"/>
      <c r="N23" s="30"/>
    </row>
    <row r="24" spans="1:14" ht="23.45" customHeight="1" thickTop="1" thickBot="1" x14ac:dyDescent="0.3">
      <c r="A24" s="102" t="s">
        <v>33</v>
      </c>
      <c r="B24" s="103"/>
      <c r="C24" s="6"/>
      <c r="D24" s="5">
        <v>144</v>
      </c>
      <c r="E24" s="30"/>
      <c r="F24" s="19"/>
      <c r="G24" s="104" t="s">
        <v>13</v>
      </c>
      <c r="H24" s="105"/>
      <c r="I24" s="5">
        <v>250</v>
      </c>
      <c r="J24" s="30"/>
      <c r="K24" s="104"/>
      <c r="L24" s="105"/>
      <c r="M24" s="5"/>
      <c r="N24" s="30"/>
    </row>
    <row r="25" spans="1:14" ht="23.45" customHeight="1" thickTop="1" thickBot="1" x14ac:dyDescent="0.3">
      <c r="A25" s="102" t="s">
        <v>13</v>
      </c>
      <c r="B25" s="103"/>
      <c r="C25" s="6"/>
      <c r="D25" s="5">
        <v>150</v>
      </c>
      <c r="E25" s="30"/>
      <c r="F25" s="19"/>
      <c r="G25" s="102" t="s">
        <v>14</v>
      </c>
      <c r="H25" s="103"/>
      <c r="I25" s="5">
        <v>251</v>
      </c>
      <c r="J25" s="30"/>
      <c r="K25" s="100"/>
      <c r="L25" s="101"/>
      <c r="M25" s="5"/>
      <c r="N25" s="30"/>
    </row>
    <row r="26" spans="1:14" ht="23.45" customHeight="1" thickTop="1" thickBot="1" x14ac:dyDescent="0.3">
      <c r="A26" s="102" t="s">
        <v>14</v>
      </c>
      <c r="B26" s="103"/>
      <c r="C26" s="6"/>
      <c r="D26" s="5">
        <v>151</v>
      </c>
      <c r="E26" s="30"/>
      <c r="F26" s="19"/>
      <c r="G26" s="102" t="s">
        <v>34</v>
      </c>
      <c r="H26" s="103"/>
      <c r="I26" s="5" t="s">
        <v>34</v>
      </c>
      <c r="J26" s="30"/>
      <c r="K26" s="100"/>
      <c r="L26" s="101"/>
      <c r="M26" s="5"/>
      <c r="N26" s="30"/>
    </row>
    <row r="27" spans="1:14" ht="23.45" customHeight="1" thickTop="1" thickBot="1" x14ac:dyDescent="0.3">
      <c r="A27" s="102" t="s">
        <v>34</v>
      </c>
      <c r="B27" s="103"/>
      <c r="C27" s="6"/>
      <c r="D27" s="5" t="s">
        <v>34</v>
      </c>
      <c r="E27" s="30"/>
      <c r="F27" s="19"/>
      <c r="G27" s="100"/>
      <c r="H27" s="101"/>
      <c r="I27" s="5" t="s">
        <v>34</v>
      </c>
      <c r="J27" s="30"/>
      <c r="K27" s="100"/>
      <c r="L27" s="101"/>
      <c r="M27" s="5"/>
      <c r="N27" s="30"/>
    </row>
    <row r="28" spans="1:14" ht="20.100000000000001" customHeight="1" thickTop="1" thickBot="1" x14ac:dyDescent="0.3">
      <c r="A28" s="102" t="s">
        <v>34</v>
      </c>
      <c r="B28" s="103"/>
      <c r="C28" s="6"/>
      <c r="D28" s="5" t="s">
        <v>34</v>
      </c>
      <c r="E28" s="30"/>
      <c r="F28" s="19"/>
      <c r="G28" s="100"/>
      <c r="H28" s="101"/>
      <c r="I28" s="5" t="s">
        <v>34</v>
      </c>
      <c r="J28" s="30"/>
      <c r="K28" s="100"/>
      <c r="L28" s="101"/>
      <c r="M28" s="5"/>
      <c r="N28" s="30"/>
    </row>
    <row r="29" spans="1:14" ht="20.100000000000001" customHeight="1" thickTop="1" thickBot="1" x14ac:dyDescent="0.3">
      <c r="A29" s="102" t="s">
        <v>34</v>
      </c>
      <c r="B29" s="103"/>
      <c r="C29" s="6"/>
      <c r="D29" s="5" t="s">
        <v>34</v>
      </c>
      <c r="E29" s="30"/>
      <c r="F29" s="19"/>
      <c r="G29" s="100"/>
      <c r="H29" s="101"/>
      <c r="I29" s="5" t="s">
        <v>34</v>
      </c>
      <c r="J29" s="30"/>
      <c r="K29" s="100"/>
      <c r="L29" s="101"/>
      <c r="M29" s="5"/>
      <c r="N29" s="30"/>
    </row>
    <row r="30" spans="1:14" ht="20.100000000000001" customHeight="1" thickTop="1" thickBot="1" x14ac:dyDescent="0.3">
      <c r="A30" s="102"/>
      <c r="B30" s="103"/>
      <c r="C30" s="6"/>
      <c r="D30" s="5" t="s">
        <v>34</v>
      </c>
      <c r="E30" s="30"/>
      <c r="F30" s="19"/>
      <c r="G30" s="100"/>
      <c r="H30" s="101"/>
      <c r="I30" s="5" t="s">
        <v>34</v>
      </c>
      <c r="J30" s="30"/>
      <c r="K30" s="100"/>
      <c r="L30" s="101"/>
      <c r="M30" s="5"/>
      <c r="N30" s="30"/>
    </row>
    <row r="31" spans="1:14" ht="20.100000000000001" customHeight="1" thickTop="1" thickBot="1" x14ac:dyDescent="0.3">
      <c r="A31" s="102"/>
      <c r="B31" s="103"/>
      <c r="C31" s="6"/>
      <c r="D31" s="5" t="s">
        <v>34</v>
      </c>
      <c r="E31" s="30"/>
      <c r="F31" s="19"/>
      <c r="G31" s="100"/>
      <c r="H31" s="101"/>
      <c r="I31" s="5" t="s">
        <v>34</v>
      </c>
      <c r="J31" s="30"/>
      <c r="K31" s="100"/>
      <c r="L31" s="101"/>
      <c r="M31" s="5"/>
      <c r="N31" s="30"/>
    </row>
    <row r="32" spans="1:14" ht="20.100000000000001" customHeight="1" thickTop="1" thickBot="1" x14ac:dyDescent="0.3">
      <c r="A32" s="102"/>
      <c r="B32" s="103"/>
      <c r="C32" s="6"/>
      <c r="D32" s="5" t="s">
        <v>34</v>
      </c>
      <c r="E32" s="30"/>
      <c r="F32" s="19"/>
      <c r="G32" s="100"/>
      <c r="H32" s="101"/>
      <c r="I32" s="5" t="s">
        <v>34</v>
      </c>
      <c r="J32" s="30"/>
      <c r="K32" s="100"/>
      <c r="L32" s="101"/>
      <c r="M32" s="5"/>
      <c r="N32" s="30"/>
    </row>
    <row r="33" spans="1:18" ht="20.100000000000001" customHeight="1" thickTop="1" thickBot="1" x14ac:dyDescent="0.3">
      <c r="A33" s="102"/>
      <c r="B33" s="103"/>
      <c r="C33" s="6"/>
      <c r="D33" s="5" t="s">
        <v>34</v>
      </c>
      <c r="E33" s="30"/>
      <c r="F33" s="19"/>
      <c r="G33" s="100"/>
      <c r="H33" s="101"/>
      <c r="I33" s="5" t="s">
        <v>34</v>
      </c>
      <c r="J33" s="30"/>
      <c r="K33" s="100"/>
      <c r="L33" s="101"/>
      <c r="M33" s="5"/>
      <c r="N33" s="30"/>
    </row>
    <row r="34" spans="1:18" ht="20.100000000000001" customHeight="1" thickTop="1" thickBot="1" x14ac:dyDescent="0.3">
      <c r="A34" s="102"/>
      <c r="B34" s="103"/>
      <c r="C34" s="6"/>
      <c r="D34" s="5" t="s">
        <v>34</v>
      </c>
      <c r="E34" s="30"/>
      <c r="F34" s="19"/>
      <c r="G34" s="100"/>
      <c r="H34" s="101"/>
      <c r="I34" s="5" t="s">
        <v>34</v>
      </c>
      <c r="J34" s="30"/>
      <c r="K34" s="100"/>
      <c r="L34" s="101"/>
      <c r="M34" s="5"/>
      <c r="N34" s="30"/>
      <c r="R34" s="35"/>
    </row>
    <row r="35" spans="1:18" ht="20.100000000000001" customHeight="1" thickTop="1" thickBot="1" x14ac:dyDescent="0.3">
      <c r="A35" s="102"/>
      <c r="B35" s="103"/>
      <c r="C35" s="6"/>
      <c r="D35" s="5" t="s">
        <v>34</v>
      </c>
      <c r="E35" s="30"/>
      <c r="F35" s="19"/>
      <c r="G35" s="100"/>
      <c r="H35" s="101"/>
      <c r="I35" s="5" t="s">
        <v>34</v>
      </c>
      <c r="J35" s="30"/>
      <c r="K35" s="100"/>
      <c r="L35" s="101"/>
      <c r="M35" s="5"/>
      <c r="N35" s="30"/>
    </row>
    <row r="36" spans="1:18" ht="20.100000000000001" customHeight="1" thickTop="1" thickBot="1" x14ac:dyDescent="0.3">
      <c r="A36" s="102"/>
      <c r="B36" s="103"/>
      <c r="C36" s="6"/>
      <c r="D36" s="5" t="s">
        <v>34</v>
      </c>
      <c r="E36" s="30"/>
      <c r="F36" s="19"/>
      <c r="G36" s="100"/>
      <c r="H36" s="101"/>
      <c r="I36" s="5" t="s">
        <v>34</v>
      </c>
      <c r="J36" s="30"/>
      <c r="K36" s="100"/>
      <c r="L36" s="101"/>
      <c r="M36" s="5"/>
      <c r="N36" s="30"/>
    </row>
    <row r="37" spans="1:18" ht="20.100000000000001" customHeight="1" thickTop="1" thickBot="1" x14ac:dyDescent="0.3">
      <c r="A37" s="102"/>
      <c r="B37" s="103"/>
      <c r="C37" s="6"/>
      <c r="D37" s="5" t="s">
        <v>34</v>
      </c>
      <c r="E37" s="30"/>
      <c r="F37" s="19"/>
      <c r="G37" s="100"/>
      <c r="H37" s="101"/>
      <c r="I37" s="5" t="s">
        <v>34</v>
      </c>
      <c r="J37" s="30"/>
      <c r="K37" s="100"/>
      <c r="L37" s="101"/>
      <c r="M37" s="5"/>
      <c r="N37" s="30"/>
    </row>
    <row r="38" spans="1:18" ht="20.100000000000001" customHeight="1" thickTop="1" thickBot="1" x14ac:dyDescent="0.3">
      <c r="A38" s="102"/>
      <c r="B38" s="103"/>
      <c r="C38" s="6"/>
      <c r="D38" s="5" t="s">
        <v>34</v>
      </c>
      <c r="E38" s="30"/>
      <c r="F38" s="19"/>
      <c r="G38" s="100"/>
      <c r="H38" s="101"/>
      <c r="I38" s="5" t="s">
        <v>34</v>
      </c>
      <c r="J38" s="30"/>
      <c r="K38" s="100"/>
      <c r="L38" s="101"/>
      <c r="M38" s="5"/>
      <c r="N38" s="30"/>
    </row>
    <row r="39" spans="1:18" ht="20.100000000000001" customHeight="1" thickTop="1" thickBot="1" x14ac:dyDescent="0.3">
      <c r="A39" s="102"/>
      <c r="B39" s="103"/>
      <c r="C39" s="6"/>
      <c r="D39" s="5" t="s">
        <v>34</v>
      </c>
      <c r="E39" s="30"/>
      <c r="F39" s="19"/>
      <c r="G39" s="100"/>
      <c r="H39" s="101"/>
      <c r="I39" s="5" t="s">
        <v>34</v>
      </c>
      <c r="J39" s="30"/>
      <c r="K39" s="100"/>
      <c r="L39" s="101"/>
      <c r="M39" s="5"/>
      <c r="N39" s="30"/>
    </row>
    <row r="40" spans="1:18" ht="20.100000000000001" customHeight="1" thickTop="1" thickBot="1" x14ac:dyDescent="0.3">
      <c r="A40" s="106" t="s">
        <v>18</v>
      </c>
      <c r="B40" s="107"/>
      <c r="C40" s="29">
        <v>0.44350000000000001</v>
      </c>
      <c r="D40" s="5"/>
      <c r="E40" s="31">
        <f>SUM(E12:E39,N18,N19)*C40</f>
        <v>157.4425</v>
      </c>
      <c r="F40" s="19"/>
      <c r="G40" s="100"/>
      <c r="H40" s="101"/>
      <c r="I40" s="5" t="s">
        <v>34</v>
      </c>
      <c r="J40" s="30"/>
      <c r="K40" s="100"/>
      <c r="L40" s="101"/>
      <c r="M40" s="5"/>
      <c r="N40" s="30"/>
    </row>
    <row r="41" spans="1:18" ht="20.100000000000001" customHeight="1" thickTop="1" thickBot="1" x14ac:dyDescent="0.25">
      <c r="A41" s="106" t="s">
        <v>18</v>
      </c>
      <c r="B41" s="107"/>
      <c r="C41" s="26">
        <v>7.6499999999999999E-2</v>
      </c>
      <c r="D41" s="8"/>
      <c r="E41" s="31">
        <f>SUM(E12:E39,N18,N19)*C41</f>
        <v>27.157499999999999</v>
      </c>
      <c r="F41" s="20"/>
      <c r="G41" s="114"/>
      <c r="H41" s="115"/>
      <c r="I41" s="9"/>
      <c r="J41" s="33"/>
      <c r="K41" s="114"/>
      <c r="L41" s="115"/>
      <c r="M41" s="9"/>
      <c r="N41" s="30"/>
    </row>
    <row r="42" spans="1:18" ht="20.100000000000001" customHeight="1" thickTop="1" x14ac:dyDescent="0.2">
      <c r="A42" s="116" t="s">
        <v>5</v>
      </c>
      <c r="B42" s="117"/>
      <c r="C42" s="117"/>
      <c r="D42" s="117"/>
      <c r="E42" s="117"/>
      <c r="F42" s="117"/>
      <c r="G42" s="117"/>
      <c r="H42" s="117"/>
      <c r="I42" s="117"/>
      <c r="J42" s="117"/>
      <c r="K42" s="118"/>
      <c r="L42" s="118"/>
      <c r="M42" s="118"/>
      <c r="N42" s="118"/>
    </row>
    <row r="43" spans="1:18" ht="20.100000000000001" customHeight="1" x14ac:dyDescent="0.2">
      <c r="A43" s="131" t="s">
        <v>64</v>
      </c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3"/>
    </row>
    <row r="44" spans="1:18" ht="20.100000000000001" customHeight="1" x14ac:dyDescent="0.2">
      <c r="A44" s="108" t="s">
        <v>65</v>
      </c>
      <c r="B44" s="109"/>
      <c r="C44" s="109"/>
      <c r="D44" s="109"/>
      <c r="E44" s="109"/>
      <c r="F44" s="109"/>
      <c r="G44" s="109"/>
      <c r="H44" s="109"/>
      <c r="I44" s="109"/>
      <c r="J44" s="109"/>
      <c r="K44" s="134"/>
      <c r="L44" s="134"/>
      <c r="M44" s="134"/>
      <c r="N44" s="135"/>
    </row>
    <row r="45" spans="1:18" ht="20.100000000000001" customHeight="1" x14ac:dyDescent="0.2">
      <c r="A45" s="108"/>
      <c r="B45" s="109"/>
      <c r="C45" s="109"/>
      <c r="D45" s="109"/>
      <c r="E45" s="109"/>
      <c r="F45" s="109"/>
      <c r="G45" s="109"/>
      <c r="H45" s="109"/>
      <c r="I45" s="109"/>
      <c r="J45" s="109"/>
      <c r="K45" s="134"/>
      <c r="L45" s="134"/>
      <c r="M45" s="134"/>
      <c r="N45" s="135"/>
    </row>
    <row r="46" spans="1:18" ht="27.95" customHeight="1" x14ac:dyDescent="0.2">
      <c r="A46" s="108"/>
      <c r="B46" s="109"/>
      <c r="C46" s="109"/>
      <c r="D46" s="109"/>
      <c r="E46" s="109"/>
      <c r="F46" s="109"/>
      <c r="G46" s="109"/>
      <c r="H46" s="109"/>
      <c r="I46" s="109"/>
      <c r="J46" s="109"/>
      <c r="K46" s="110"/>
      <c r="L46" s="110"/>
      <c r="M46" s="110"/>
      <c r="N46" s="11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8"/>
  <sheetViews>
    <sheetView zoomScale="130" zoomScaleNormal="130" workbookViewId="0">
      <selection activeCell="B32" sqref="B32"/>
    </sheetView>
  </sheetViews>
  <sheetFormatPr defaultRowHeight="12.75" x14ac:dyDescent="0.2"/>
  <cols>
    <col min="1" max="1" width="4.5703125" style="36" bestFit="1" customWidth="1"/>
    <col min="2" max="2" width="35.7109375" style="36" customWidth="1"/>
    <col min="3" max="3" width="5" style="36" customWidth="1"/>
    <col min="4" max="4" width="5.140625" style="36" customWidth="1"/>
    <col min="5" max="5" width="7.85546875" style="36" customWidth="1"/>
    <col min="6" max="6" width="8.7109375" style="36" customWidth="1"/>
    <col min="7" max="7" width="5" style="36" customWidth="1"/>
    <col min="8" max="8" width="5.140625" style="36" customWidth="1"/>
    <col min="9" max="9" width="8.28515625" style="36" customWidth="1"/>
    <col min="10" max="10" width="9" style="36" customWidth="1"/>
    <col min="11" max="11" width="8" style="36" bestFit="1" customWidth="1"/>
    <col min="12" max="12" width="10.85546875" style="36" customWidth="1"/>
    <col min="13" max="13" width="11" style="36" customWidth="1"/>
    <col min="14" max="14" width="9.140625" style="36"/>
    <col min="15" max="15" width="13" style="36" customWidth="1"/>
    <col min="16" max="16384" width="9.140625" style="36"/>
  </cols>
  <sheetData>
    <row r="1" spans="1:15" x14ac:dyDescent="0.2">
      <c r="D1" s="37"/>
      <c r="H1" s="95" t="s">
        <v>63</v>
      </c>
      <c r="I1" s="137" t="s">
        <v>62</v>
      </c>
      <c r="J1" s="137"/>
      <c r="K1" s="137"/>
      <c r="L1" s="137"/>
    </row>
    <row r="2" spans="1:15" x14ac:dyDescent="0.2">
      <c r="D2" s="37"/>
      <c r="G2" s="77"/>
      <c r="H2" s="92" t="s">
        <v>61</v>
      </c>
      <c r="I2" s="138">
        <v>42437</v>
      </c>
      <c r="J2" s="137"/>
      <c r="K2" s="137"/>
      <c r="L2" s="137"/>
    </row>
    <row r="3" spans="1:15" x14ac:dyDescent="0.2">
      <c r="D3" s="37"/>
      <c r="G3" s="77"/>
      <c r="H3" s="92" t="s">
        <v>60</v>
      </c>
      <c r="I3" s="91" t="s">
        <v>71</v>
      </c>
      <c r="J3" s="93"/>
      <c r="K3" s="93"/>
      <c r="L3" s="93"/>
    </row>
    <row r="4" spans="1:15" ht="24" thickBot="1" x14ac:dyDescent="0.4">
      <c r="A4" s="139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</row>
    <row r="5" spans="1:15" ht="4.5" customHeight="1" x14ac:dyDescent="0.2">
      <c r="A5" s="140" t="s">
        <v>59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2"/>
    </row>
    <row r="6" spans="1:15" ht="12.75" customHeight="1" x14ac:dyDescent="0.2">
      <c r="A6" s="143"/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5"/>
    </row>
    <row r="7" spans="1:15" ht="4.5" customHeight="1" thickBot="1" x14ac:dyDescent="0.25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8"/>
    </row>
    <row r="8" spans="1:15" x14ac:dyDescent="0.2">
      <c r="A8" s="90"/>
      <c r="B8" s="88"/>
      <c r="C8" s="88"/>
      <c r="D8" s="89"/>
      <c r="E8" s="88"/>
      <c r="F8" s="88"/>
      <c r="G8" s="77"/>
      <c r="H8" s="87"/>
      <c r="I8" s="94"/>
      <c r="J8" s="93"/>
      <c r="K8" s="93"/>
      <c r="L8" s="86"/>
    </row>
    <row r="9" spans="1:15" x14ac:dyDescent="0.2">
      <c r="A9" s="90"/>
      <c r="B9" s="88"/>
      <c r="C9" s="88"/>
      <c r="D9" s="89"/>
      <c r="E9" s="88"/>
      <c r="F9" s="88"/>
      <c r="G9" s="77"/>
      <c r="H9" s="87"/>
      <c r="I9" s="94"/>
      <c r="J9" s="93"/>
      <c r="K9" s="93"/>
      <c r="L9" s="86"/>
    </row>
    <row r="10" spans="1:15" x14ac:dyDescent="0.2">
      <c r="A10" s="90"/>
      <c r="B10" s="88"/>
      <c r="C10" s="88"/>
      <c r="D10" s="89"/>
      <c r="E10" s="88"/>
      <c r="F10" s="88"/>
      <c r="G10" s="77"/>
      <c r="H10" s="87"/>
      <c r="I10" s="94"/>
      <c r="J10" s="93"/>
      <c r="K10" s="93"/>
      <c r="L10" s="86"/>
    </row>
    <row r="11" spans="1:15" ht="13.5" thickBot="1" x14ac:dyDescent="0.25">
      <c r="A11" s="85"/>
      <c r="B11" s="83"/>
      <c r="C11" s="83"/>
      <c r="D11" s="84"/>
      <c r="E11" s="83"/>
      <c r="F11" s="83"/>
      <c r="G11" s="82"/>
      <c r="H11" s="81"/>
      <c r="I11" s="80"/>
      <c r="J11" s="79"/>
      <c r="K11" s="79"/>
      <c r="L11" s="78"/>
    </row>
    <row r="12" spans="1:15" ht="6" customHeight="1" x14ac:dyDescent="0.2">
      <c r="D12" s="37"/>
      <c r="G12" s="77"/>
      <c r="H12" s="76"/>
      <c r="I12" s="94"/>
      <c r="J12" s="93"/>
      <c r="K12" s="93"/>
      <c r="L12" s="93"/>
    </row>
    <row r="13" spans="1:15" ht="6" customHeight="1" x14ac:dyDescent="0.2">
      <c r="D13" s="37"/>
      <c r="E13" s="77"/>
      <c r="F13" s="76"/>
      <c r="G13" s="75"/>
      <c r="H13" s="75"/>
      <c r="I13" s="75"/>
      <c r="J13" s="74"/>
    </row>
    <row r="14" spans="1:15" x14ac:dyDescent="0.2">
      <c r="A14" s="73"/>
      <c r="B14" s="72"/>
      <c r="C14" s="136" t="s">
        <v>56</v>
      </c>
      <c r="D14" s="136"/>
      <c r="E14" s="136"/>
      <c r="F14" s="136"/>
      <c r="G14" s="71" t="s">
        <v>55</v>
      </c>
      <c r="H14" s="70"/>
      <c r="I14" s="70"/>
      <c r="J14" s="69" t="s">
        <v>54</v>
      </c>
      <c r="K14" s="68" t="s">
        <v>53</v>
      </c>
      <c r="L14" s="67"/>
    </row>
    <row r="15" spans="1:15" x14ac:dyDescent="0.2">
      <c r="A15" s="66" t="s">
        <v>52</v>
      </c>
      <c r="B15" s="65" t="s">
        <v>51</v>
      </c>
      <c r="C15" s="63" t="s">
        <v>50</v>
      </c>
      <c r="D15" s="63" t="s">
        <v>48</v>
      </c>
      <c r="E15" s="63" t="s">
        <v>49</v>
      </c>
      <c r="F15" s="64" t="s">
        <v>47</v>
      </c>
      <c r="G15" s="63" t="s">
        <v>50</v>
      </c>
      <c r="H15" s="63" t="s">
        <v>48</v>
      </c>
      <c r="I15" s="63" t="s">
        <v>49</v>
      </c>
      <c r="J15" s="64" t="s">
        <v>47</v>
      </c>
      <c r="K15" s="63" t="s">
        <v>48</v>
      </c>
      <c r="L15" s="63" t="s">
        <v>47</v>
      </c>
    </row>
    <row r="16" spans="1:15" x14ac:dyDescent="0.2">
      <c r="A16" s="61"/>
      <c r="B16" s="60" t="s">
        <v>70</v>
      </c>
      <c r="C16" s="56">
        <v>4</v>
      </c>
      <c r="D16" s="59" t="s">
        <v>45</v>
      </c>
      <c r="E16" s="58">
        <v>80</v>
      </c>
      <c r="F16" s="57">
        <f>C16*E16</f>
        <v>320</v>
      </c>
      <c r="G16" s="56"/>
      <c r="H16" s="59"/>
      <c r="I16" s="58"/>
      <c r="J16" s="57"/>
      <c r="K16" s="56"/>
      <c r="L16" s="55"/>
      <c r="M16" s="53"/>
      <c r="O16" s="54"/>
    </row>
    <row r="17" spans="1:15" x14ac:dyDescent="0.2">
      <c r="A17" s="61"/>
      <c r="B17" s="60" t="s">
        <v>69</v>
      </c>
      <c r="C17" s="56"/>
      <c r="D17" s="59"/>
      <c r="E17" s="58"/>
      <c r="F17" s="57"/>
      <c r="G17" s="56"/>
      <c r="H17" s="59"/>
      <c r="I17" s="58"/>
      <c r="J17" s="57"/>
      <c r="K17" s="56" t="s">
        <v>46</v>
      </c>
      <c r="L17" s="55">
        <v>600</v>
      </c>
      <c r="M17" s="53"/>
      <c r="O17" s="54"/>
    </row>
    <row r="18" spans="1:15" x14ac:dyDescent="0.2">
      <c r="A18" s="61"/>
      <c r="B18" s="62" t="s">
        <v>68</v>
      </c>
      <c r="C18" s="56"/>
      <c r="D18" s="59"/>
      <c r="E18" s="58"/>
      <c r="F18" s="57"/>
      <c r="G18" s="56">
        <v>4</v>
      </c>
      <c r="H18" s="59" t="s">
        <v>57</v>
      </c>
      <c r="I18" s="58">
        <v>117</v>
      </c>
      <c r="J18" s="57">
        <f>G18*I18</f>
        <v>468</v>
      </c>
      <c r="K18" s="56"/>
      <c r="L18" s="55"/>
      <c r="M18" s="53"/>
      <c r="O18" s="54"/>
    </row>
    <row r="19" spans="1:15" x14ac:dyDescent="0.2">
      <c r="A19" s="61"/>
      <c r="B19" s="60" t="s">
        <v>67</v>
      </c>
      <c r="C19" s="56">
        <v>2</v>
      </c>
      <c r="D19" s="59" t="s">
        <v>45</v>
      </c>
      <c r="E19" s="58">
        <v>60.5</v>
      </c>
      <c r="F19" s="57">
        <f>C19*E19</f>
        <v>121</v>
      </c>
      <c r="G19" s="56"/>
      <c r="H19" s="59"/>
      <c r="I19" s="58"/>
      <c r="J19" s="57"/>
      <c r="K19" s="56"/>
      <c r="L19" s="55"/>
      <c r="M19" s="53"/>
      <c r="O19" s="54"/>
    </row>
    <row r="20" spans="1:15" x14ac:dyDescent="0.2">
      <c r="A20" s="61"/>
      <c r="B20" s="60" t="s">
        <v>66</v>
      </c>
      <c r="C20" s="56">
        <v>1</v>
      </c>
      <c r="D20" s="59" t="s">
        <v>45</v>
      </c>
      <c r="E20" s="58">
        <v>60.5</v>
      </c>
      <c r="F20" s="57">
        <f>C20*E20</f>
        <v>60.5</v>
      </c>
      <c r="G20" s="56">
        <v>4</v>
      </c>
      <c r="H20" s="59" t="s">
        <v>57</v>
      </c>
      <c r="I20" s="58">
        <v>5.23</v>
      </c>
      <c r="J20" s="57">
        <f>G20*I20</f>
        <v>20.92</v>
      </c>
      <c r="K20" s="56"/>
      <c r="L20" s="55"/>
      <c r="M20" s="53"/>
      <c r="O20" s="54"/>
    </row>
    <row r="21" spans="1:15" x14ac:dyDescent="0.2">
      <c r="A21" s="61"/>
      <c r="B21" s="60" t="s">
        <v>3</v>
      </c>
      <c r="C21" s="56">
        <v>2</v>
      </c>
      <c r="D21" s="59" t="s">
        <v>45</v>
      </c>
      <c r="E21" s="58">
        <v>80</v>
      </c>
      <c r="F21" s="57">
        <f>C21*E21</f>
        <v>160</v>
      </c>
      <c r="G21" s="56"/>
      <c r="H21" s="59"/>
      <c r="I21" s="58"/>
      <c r="J21" s="57"/>
      <c r="K21" s="56"/>
      <c r="L21" s="55"/>
      <c r="M21" s="53"/>
      <c r="O21" s="54"/>
    </row>
    <row r="22" spans="1:15" x14ac:dyDescent="0.2">
      <c r="A22" s="61"/>
      <c r="B22" s="60" t="s">
        <v>58</v>
      </c>
      <c r="C22" s="56">
        <v>0.5</v>
      </c>
      <c r="D22" s="59" t="s">
        <v>45</v>
      </c>
      <c r="E22" s="58">
        <v>80</v>
      </c>
      <c r="F22" s="57">
        <f>C22*E22</f>
        <v>40</v>
      </c>
      <c r="G22" s="56"/>
      <c r="H22" s="59"/>
      <c r="I22" s="58"/>
      <c r="J22" s="57"/>
      <c r="K22" s="56"/>
      <c r="L22" s="55"/>
      <c r="M22" s="53"/>
      <c r="O22" s="54"/>
    </row>
    <row r="23" spans="1:15" x14ac:dyDescent="0.2">
      <c r="B23" s="44" t="s">
        <v>44</v>
      </c>
      <c r="D23" s="37"/>
      <c r="F23" s="53">
        <f>SUM(F17:F22)</f>
        <v>381.5</v>
      </c>
      <c r="G23" s="53"/>
      <c r="H23" s="53"/>
      <c r="I23" s="53"/>
      <c r="J23" s="53">
        <f>SUM(J17:J22)</f>
        <v>488.92</v>
      </c>
      <c r="K23" s="53">
        <f>SUM(K17:K22)</f>
        <v>0</v>
      </c>
      <c r="L23" s="53">
        <f>SUM(L17:L22)</f>
        <v>600</v>
      </c>
    </row>
    <row r="24" spans="1:15" x14ac:dyDescent="0.2">
      <c r="B24" s="52" t="s">
        <v>43</v>
      </c>
      <c r="D24" s="37"/>
      <c r="E24" s="50">
        <v>0.1</v>
      </c>
      <c r="F24" s="49">
        <f>+E24*F23</f>
        <v>38.15</v>
      </c>
      <c r="I24" s="50">
        <v>0.1</v>
      </c>
      <c r="J24" s="51">
        <f>+I24*J23</f>
        <v>48.892000000000003</v>
      </c>
      <c r="K24" s="50">
        <v>0.1</v>
      </c>
      <c r="L24" s="49">
        <f>+K24*L23</f>
        <v>60</v>
      </c>
    </row>
    <row r="25" spans="1:15" x14ac:dyDescent="0.2">
      <c r="B25" s="48" t="s">
        <v>42</v>
      </c>
      <c r="D25" s="37"/>
      <c r="F25" s="45">
        <f>F23+F24</f>
        <v>419.65</v>
      </c>
      <c r="G25" s="46"/>
      <c r="H25" s="46"/>
      <c r="I25" s="46"/>
      <c r="J25" s="47">
        <f>J23+J24</f>
        <v>537.81200000000001</v>
      </c>
      <c r="K25" s="46"/>
      <c r="L25" s="45">
        <f>L23+L24</f>
        <v>660</v>
      </c>
    </row>
    <row r="26" spans="1:15" ht="13.5" thickBot="1" x14ac:dyDescent="0.25">
      <c r="B26" s="44"/>
      <c r="D26" s="37"/>
      <c r="F26" s="40"/>
      <c r="G26" s="43"/>
      <c r="H26" s="43"/>
      <c r="I26" s="42"/>
      <c r="J26" s="40"/>
      <c r="K26" s="41"/>
      <c r="L26" s="40"/>
    </row>
    <row r="27" spans="1:15" x14ac:dyDescent="0.2">
      <c r="B27" s="39" t="s">
        <v>41</v>
      </c>
      <c r="D27" s="37"/>
    </row>
    <row r="28" spans="1:15" ht="13.5" thickBot="1" x14ac:dyDescent="0.25">
      <c r="B28" s="38">
        <f>F25+J25+L25</f>
        <v>1617.462</v>
      </c>
      <c r="D28" s="37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COR</vt:lpstr>
      <vt:lpstr>Sheet2</vt:lpstr>
      <vt:lpstr>Sheet3</vt:lpstr>
      <vt:lpstr>COR!Print_Area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2016-09-23T21:39:53Z</cp:lastPrinted>
  <dcterms:created xsi:type="dcterms:W3CDTF">2007-06-15T20:21:01Z</dcterms:created>
  <dcterms:modified xsi:type="dcterms:W3CDTF">2016-09-23T21:41:22Z</dcterms:modified>
</cp:coreProperties>
</file>