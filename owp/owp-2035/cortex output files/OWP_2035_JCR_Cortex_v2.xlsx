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Vendors" sheetId="12" state="visible" r:id="rId12"/>
    <sheet xmlns:r="http://schemas.openxmlformats.org/officeDocument/2006/relationships" name="Change Log" sheetId="13" state="visible" r:id="rId13"/>
    <sheet xmlns:r="http://schemas.openxmlformats.org/officeDocument/2006/relationships" name="Root Cause Analysis" sheetId="14" state="visible" r:id="rId14"/>
    <sheet xmlns:r="http://schemas.openxmlformats.org/officeDocument/2006/relationships" name="Predictive Signals" sheetId="15" state="visible" r:id="rId15"/>
    <sheet xmlns:r="http://schemas.openxmlformats.org/officeDocument/2006/relationships" name="Metric Registry" sheetId="16" state="visible" r:id="rId16"/>
    <sheet xmlns:r="http://schemas.openxmlformats.org/officeDocument/2006/relationships" name="Reconcilia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&quot;$&quot;#,##0.00;[Red]-&quot;$&quot;#,##0.00"/>
    <numFmt numFmtId="166" formatCode="0.0%"/>
    <numFmt numFmtId="167" formatCode="0.00&quot;x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8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090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wrapText="1"/>
    </xf>
    <xf numFmtId="164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0" fontId="4" fillId="4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3" fillId="0" borderId="1" pivotButton="0" quotePrefix="0" xfId="0"/>
    <xf numFmtId="165" fontId="3" fillId="0" borderId="1" pivotButton="0" quotePrefix="0" xfId="0"/>
    <xf numFmtId="164" fontId="4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42"/>
  <sheetViews>
    <sheetView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2" customWidth="1" min="3" max="3"/>
    <col width="16" customWidth="1" min="4" max="4"/>
    <col width="16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</cols>
  <sheetData>
    <row r="2" ht="28" customHeight="1">
      <c r="B2" s="1" t="inlineStr">
        <is>
          <t>Job #2035 · 162 Ten Apartments</t>
        </is>
      </c>
    </row>
    <row r="3">
      <c r="B3" s="2" t="inlineStr">
        <is>
          <t>Cortex JCR v2  •  Natural &amp; Built LLC (customer 2035NB)  •  16210 NE 80th St, Redmond, WA 98052  •  Owner: 162 Ten Apartments LLC (Natural &amp; Built)</t>
        </is>
      </c>
    </row>
    <row r="5">
      <c r="B5" s="3" t="inlineStr">
        <is>
          <t>PROJECT OVERVIEW</t>
        </is>
      </c>
    </row>
    <row r="6">
      <c r="B6" s="4" t="inlineStr">
        <is>
          <t>Project Job #</t>
        </is>
      </c>
      <c r="C6" s="5" t="inlineStr">
        <is>
          <t>2035</t>
        </is>
      </c>
      <c r="D6" s="6" t="n"/>
      <c r="E6" s="7" t="n"/>
      <c r="F6" s="8" t="inlineStr">
        <is>
          <t>2035 Job Detail Report.pdf (Sage Timberline, 04/03/2026)</t>
        </is>
      </c>
      <c r="G6" s="6" t="n"/>
      <c r="H6" s="6" t="n"/>
      <c r="I6" s="6" t="n"/>
      <c r="J6" s="7" t="n"/>
    </row>
    <row r="7">
      <c r="B7" s="4" t="inlineStr">
        <is>
          <t>Project Name (Sage)</t>
        </is>
      </c>
      <c r="C7" s="5" t="inlineStr">
        <is>
          <t>162 Ten Apartments</t>
        </is>
      </c>
      <c r="D7" s="6" t="n"/>
      <c r="E7" s="7" t="n"/>
      <c r="F7" s="8" t="inlineStr">
        <is>
          <t>2035 Job Detail Report.pdf (Sage Timberline, 04/03/2026)</t>
        </is>
      </c>
      <c r="G7" s="6" t="n"/>
      <c r="H7" s="6" t="n"/>
      <c r="I7" s="6" t="n"/>
      <c r="J7" s="7" t="n"/>
    </row>
    <row r="8">
      <c r="B8" s="4" t="inlineStr">
        <is>
          <t>Project Description</t>
        </is>
      </c>
      <c r="C8" s="5" t="inlineStr">
        <is>
          <t>162 Ten — 92-unit multifamily plumbing, Redmond WA</t>
        </is>
      </c>
      <c r="D8" s="6" t="n"/>
      <c r="E8" s="7" t="n"/>
      <c r="F8" s="8" t="inlineStr">
        <is>
          <t>OWP Project List with Schedule - UPDATED 04-01-26.xlsx + contract</t>
        </is>
      </c>
      <c r="G8" s="6" t="n"/>
      <c r="H8" s="6" t="n"/>
      <c r="I8" s="6" t="n"/>
      <c r="J8" s="7" t="n"/>
    </row>
    <row r="9">
      <c r="B9" s="4" t="inlineStr">
        <is>
          <t>General Contractor</t>
        </is>
      </c>
      <c r="C9" s="5" t="inlineStr">
        <is>
          <t>Natural &amp; Built LLC</t>
        </is>
      </c>
      <c r="D9" s="6" t="n"/>
      <c r="E9" s="7" t="n"/>
      <c r="F9" s="8" t="inlineStr">
        <is>
          <t>OWP Project List with Schedule - UPDATED 04-01-26.xlsx</t>
        </is>
      </c>
      <c r="G9" s="6" t="n"/>
      <c r="H9" s="6" t="n"/>
      <c r="I9" s="6" t="n"/>
      <c r="J9" s="7" t="n"/>
    </row>
    <row r="10">
      <c r="B10" s="4" t="inlineStr">
        <is>
          <t>Customer Code (Sage)</t>
        </is>
      </c>
      <c r="C10" s="5" t="inlineStr">
        <is>
          <t>2035NB</t>
        </is>
      </c>
      <c r="D10" s="6" t="n"/>
      <c r="E10" s="7" t="n"/>
      <c r="F10" s="8" t="inlineStr">
        <is>
          <t>2035 Job Detail Report.pdf (Sage Timberline, 04/03/2026)</t>
        </is>
      </c>
      <c r="G10" s="6" t="n"/>
      <c r="H10" s="6" t="n"/>
      <c r="I10" s="6" t="n"/>
      <c r="J10" s="7" t="n"/>
    </row>
    <row r="11">
      <c r="B11" s="4" t="inlineStr">
        <is>
          <t>Owner / Developer</t>
        </is>
      </c>
      <c r="C11" s="5" t="inlineStr">
        <is>
          <t>162 Ten Apartments LLC (Natural &amp; Built)</t>
        </is>
      </c>
      <c r="D11" s="6" t="n"/>
      <c r="E11" s="7" t="n"/>
      <c r="F11" s="8" t="inlineStr">
        <is>
          <t>OWP Project List with Schedule - UPDATED 04-01-26.xlsx</t>
        </is>
      </c>
      <c r="G11" s="6" t="n"/>
      <c r="H11" s="6" t="n"/>
      <c r="I11" s="6" t="n"/>
      <c r="J11" s="7" t="n"/>
    </row>
    <row r="12">
      <c r="B12" s="4" t="inlineStr">
        <is>
          <t>GC PM</t>
        </is>
      </c>
      <c r="C12" s="5" t="inlineStr">
        <is>
          <t>Tyson Cornett</t>
        </is>
      </c>
      <c r="D12" s="6" t="n"/>
      <c r="E12" s="7" t="n"/>
      <c r="F12" s="8" t="inlineStr">
        <is>
          <t>OWP Project List with Schedule - UPDATED 04-01-26.xlsx</t>
        </is>
      </c>
      <c r="G12" s="6" t="n"/>
      <c r="H12" s="6" t="n"/>
      <c r="I12" s="6" t="n"/>
      <c r="J12" s="7" t="n"/>
    </row>
    <row r="13">
      <c r="B13" s="4" t="inlineStr">
        <is>
          <t>GC Superintendent</t>
        </is>
      </c>
      <c r="C13" s="5" t="inlineStr">
        <is>
          <t>Tyson Cornett</t>
        </is>
      </c>
      <c r="D13" s="6" t="n"/>
      <c r="E13" s="7" t="n"/>
      <c r="F13" s="8" t="inlineStr">
        <is>
          <t>OWP Project List with Schedule - UPDATED 04-01-26.xlsx</t>
        </is>
      </c>
      <c r="G13" s="6" t="n"/>
      <c r="H13" s="6" t="n"/>
      <c r="I13" s="6" t="n"/>
      <c r="J13" s="7" t="n"/>
    </row>
    <row r="14">
      <c r="B14" s="4" t="inlineStr">
        <is>
          <t>GC PE</t>
        </is>
      </c>
      <c r="C14" s="5" t="inlineStr">
        <is>
          <t>TBD</t>
        </is>
      </c>
      <c r="D14" s="6" t="n"/>
      <c r="E14" s="7" t="n"/>
      <c r="F14" s="8" t="inlineStr">
        <is>
          <t>OWP Project List with Schedule - UPDATED 04-01-26.xlsx</t>
        </is>
      </c>
      <c r="G14" s="6" t="n"/>
      <c r="H14" s="6" t="n"/>
      <c r="I14" s="6" t="n"/>
      <c r="J14" s="7" t="n"/>
    </row>
    <row r="15">
      <c r="B15" s="4" t="inlineStr">
        <is>
          <t>OWP Rough-in Foreman</t>
        </is>
      </c>
      <c r="C15" s="5" t="inlineStr">
        <is>
          <t>Reuben</t>
        </is>
      </c>
      <c r="D15" s="6" t="n"/>
      <c r="E15" s="7" t="n"/>
      <c r="F15" s="8" t="inlineStr">
        <is>
          <t>Schedule tab</t>
        </is>
      </c>
      <c r="G15" s="6" t="n"/>
      <c r="H15" s="6" t="n"/>
      <c r="I15" s="6" t="n"/>
      <c r="J15" s="7" t="n"/>
    </row>
    <row r="16">
      <c r="B16" s="4" t="inlineStr">
        <is>
          <t>Jobsite Location</t>
        </is>
      </c>
      <c r="C16" s="5" t="inlineStr">
        <is>
          <t>16210 NE 80th St, Redmond, WA 98052</t>
        </is>
      </c>
      <c r="D16" s="6" t="n"/>
      <c r="E16" s="7" t="n"/>
      <c r="F16" s="8" t="inlineStr">
        <is>
          <t>OWP Project List with Schedule - UPDATED 04-01-26.xlsx</t>
        </is>
      </c>
      <c r="G16" s="6" t="n"/>
      <c r="H16" s="6" t="n"/>
      <c r="I16" s="6" t="n"/>
      <c r="J16" s="7" t="n"/>
    </row>
    <row r="17">
      <c r="B17" s="4" t="inlineStr">
        <is>
          <t>Insurance</t>
        </is>
      </c>
      <c r="C17" s="5" t="inlineStr">
        <is>
          <t>Not Wrap</t>
        </is>
      </c>
      <c r="D17" s="6" t="n"/>
      <c r="E17" s="7" t="n"/>
      <c r="F17" s="8" t="inlineStr">
        <is>
          <t>OWP Project List with Schedule - UPDATED 04-01-26.xlsx</t>
        </is>
      </c>
      <c r="G17" s="6" t="n"/>
      <c r="H17" s="6" t="n"/>
      <c r="I17" s="6" t="n"/>
      <c r="J17" s="7" t="n"/>
    </row>
    <row r="18">
      <c r="B18" s="4" t="inlineStr">
        <is>
          <t>Fixture Schedule</t>
        </is>
      </c>
      <c r="C18" s="5" t="inlineStr">
        <is>
          <t>92-unit multifamily new construction</t>
        </is>
      </c>
      <c r="D18" s="6" t="n"/>
      <c r="E18" s="7" t="n"/>
      <c r="F18" s="8" t="inlineStr">
        <is>
          <t>Project scope</t>
        </is>
      </c>
      <c r="G18" s="6" t="n"/>
      <c r="H18" s="6" t="n"/>
      <c r="I18" s="6" t="n"/>
      <c r="J18" s="7" t="n"/>
    </row>
    <row r="19">
      <c r="B19" s="4" t="inlineStr">
        <is>
          <t>Contract Type</t>
        </is>
      </c>
      <c r="C19" s="5" t="inlineStr">
        <is>
          <t>Lump Sum</t>
        </is>
      </c>
      <c r="D19" s="6" t="n"/>
      <c r="E19" s="7" t="n"/>
      <c r="F19" s="8" t="inlineStr">
        <is>
          <t>2035-Natural &amp; Built LLC subcontract + Job Info sheet</t>
        </is>
      </c>
      <c r="G19" s="6" t="n"/>
      <c r="H19" s="6" t="n"/>
      <c r="I19" s="6" t="n"/>
      <c r="J19" s="7" t="n"/>
    </row>
    <row r="20">
      <c r="B20" s="4" t="inlineStr">
        <is>
          <t>Unit Count</t>
        </is>
      </c>
      <c r="C20" s="5" t="n">
        <v>92</v>
      </c>
      <c r="D20" s="6" t="n"/>
      <c r="E20" s="7" t="n"/>
      <c r="F20" s="8" t="inlineStr">
        <is>
          <t>OWP Project List with Schedule - UPDATED 04-01-26.xlsx</t>
        </is>
      </c>
      <c r="G20" s="6" t="n"/>
      <c r="H20" s="6" t="n"/>
      <c r="I20" s="6" t="n"/>
      <c r="J20" s="7" t="n"/>
    </row>
    <row r="21">
      <c r="B21" s="4" t="inlineStr">
        <is>
          <t>Work Period</t>
        </is>
      </c>
      <c r="C21" s="5" t="inlineStr">
        <is>
          <t>2016-08-16 start → 2018 (24 months)</t>
        </is>
      </c>
      <c r="D21" s="6" t="n"/>
      <c r="E21" s="7" t="n"/>
      <c r="F21" s="8" t="inlineStr">
        <is>
          <t>JDR PR/AR dates</t>
        </is>
      </c>
      <c r="G21" s="6" t="n"/>
      <c r="H21" s="6" t="n"/>
      <c r="I21" s="6" t="n"/>
      <c r="J21" s="7" t="n"/>
    </row>
    <row r="23">
      <c r="B23" s="3" t="inlineStr">
        <is>
          <t>CONTRACT VALUE</t>
        </is>
      </c>
      <c r="D23" s="3" t="inlineStr">
        <is>
          <t>NET PROFIT</t>
        </is>
      </c>
      <c r="F23" s="3" t="inlineStr">
        <is>
          <t>DIRECT COST</t>
        </is>
      </c>
      <c r="H23" s="3" t="inlineStr">
        <is>
          <t>LABOR HOURS</t>
        </is>
      </c>
    </row>
    <row r="24">
      <c r="B24" s="9" t="n">
        <v>722290</v>
      </c>
      <c r="D24" s="9" t="n">
        <v>358523.29</v>
      </c>
      <c r="F24" s="9" t="n">
        <v>363766.71</v>
      </c>
      <c r="H24" s="10" t="n">
        <v>5204.75</v>
      </c>
    </row>
    <row r="25">
      <c r="B25" s="11" t="inlineStr">
        <is>
          <t>Original $717,400.00 + ($4,890.00) COs (0.68%)</t>
        </is>
      </c>
      <c r="D25" s="11" t="inlineStr">
        <is>
          <t>49.6% margin</t>
        </is>
      </c>
      <c r="F25" s="11" t="inlineStr">
        <is>
          <t>50.4% of revenue</t>
        </is>
      </c>
      <c r="H25" s="11" t="inlineStr">
        <is>
          <t>24 workers</t>
        </is>
      </c>
    </row>
    <row r="28">
      <c r="B28" s="3" t="inlineStr">
        <is>
          <t>SCOPE OF WORK</t>
        </is>
      </c>
    </row>
    <row r="29">
      <c r="B29" s="5" t="inlineStr">
        <is>
          <t>Full plumbing installation per Division 22: underground, garage, rough-in, finish, gas, water main, insulation.</t>
        </is>
      </c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B30" s="5" t="inlineStr">
        <is>
          <t>92-unit multifamily new construction at 16210 NE 80th St, Redmond, WA 98052.</t>
        </is>
      </c>
      <c r="C30" s="6" t="n"/>
      <c r="D30" s="6" t="n"/>
      <c r="E30" s="6" t="n"/>
      <c r="F30" s="6" t="n"/>
      <c r="G30" s="6" t="n"/>
      <c r="H30" s="6" t="n"/>
      <c r="I30" s="6" t="n"/>
      <c r="J30" s="7" t="n"/>
    </row>
    <row r="31">
      <c r="B31" s="5" t="inlineStr">
        <is>
          <t>GC: Natural &amp; Built LLC (2035NB); Owner/Developer: 162 Ten Apartments LLC (Natural &amp; Built).</t>
        </is>
      </c>
      <c r="C31" s="6" t="n"/>
      <c r="D31" s="6" t="n"/>
      <c r="E31" s="6" t="n"/>
      <c r="F31" s="6" t="n"/>
      <c r="G31" s="6" t="n"/>
      <c r="H31" s="6" t="n"/>
      <c r="I31" s="6" t="n"/>
      <c r="J31" s="7" t="n"/>
    </row>
    <row r="32">
      <c r="B32" s="5" t="inlineStr">
        <is>
          <t>Insurance: Not Wrap.</t>
        </is>
      </c>
      <c r="C32" s="6" t="n"/>
      <c r="D32" s="6" t="n"/>
      <c r="E32" s="6" t="n"/>
      <c r="F32" s="6" t="n"/>
      <c r="G32" s="6" t="n"/>
      <c r="H32" s="6" t="n"/>
      <c r="I32" s="6" t="n"/>
      <c r="J32" s="7" t="n"/>
    </row>
    <row r="33">
      <c r="B33" s="5" t="inlineStr">
        <is>
          <t>Project team: Tyson Cornett (GC PM) · Tyson Cornett (GC Sup) · TBD (GC PE) · Reuben (OWP RI).</t>
        </is>
      </c>
      <c r="C33" s="6" t="n"/>
      <c r="D33" s="6" t="n"/>
      <c r="E33" s="6" t="n"/>
      <c r="F33" s="6" t="n"/>
      <c r="G33" s="6" t="n"/>
      <c r="H33" s="6" t="n"/>
      <c r="I33" s="6" t="n"/>
      <c r="J33" s="7" t="n"/>
    </row>
    <row r="36">
      <c r="B36" s="12" t="inlineStr">
        <is>
          <t>SOURCES</t>
        </is>
      </c>
      <c r="C36" s="12" t="inlineStr"/>
      <c r="D36" s="12" t="inlineStr"/>
      <c r="E36" s="12" t="inlineStr"/>
      <c r="F36" s="12" t="inlineStr"/>
      <c r="G36" s="12" t="inlineStr"/>
      <c r="H36" s="12" t="inlineStr"/>
      <c r="I36" s="12" t="inlineStr"/>
      <c r="J36" s="12" t="inlineStr"/>
    </row>
    <row r="37">
      <c r="B37" s="8" t="inlineStr">
        <is>
          <t>Canonical financial source: 2035 Job Detail Report.pdf (Sage Timberline, 04/03/2026)</t>
        </is>
      </c>
      <c r="C37" s="6" t="n"/>
      <c r="D37" s="6" t="n"/>
      <c r="E37" s="6" t="n"/>
      <c r="F37" s="6" t="n"/>
      <c r="G37" s="6" t="n"/>
      <c r="H37" s="6" t="n"/>
      <c r="I37" s="6" t="n"/>
      <c r="J37" s="7" t="n"/>
    </row>
    <row r="38">
      <c r="B38" s="8" t="inlineStr">
        <is>
          <t>Job totals (JDR footer): Revenue $722,290.00 / Expenses $363,766.71 / Net $358,523.29 / Retainage $36,114.51</t>
        </is>
      </c>
      <c r="C38" s="6" t="n"/>
      <c r="D38" s="6" t="n"/>
      <c r="E38" s="6" t="n"/>
      <c r="F38" s="6" t="n"/>
      <c r="G38" s="6" t="n"/>
      <c r="H38" s="6" t="n"/>
      <c r="I38" s="6" t="n"/>
      <c r="J38" s="7" t="n"/>
    </row>
    <row r="39">
      <c r="B39" s="8" t="inlineStr">
        <is>
          <t>Source breakdown (derived): PR $132,990.50 · AP $135,428.20 · GL+other $95,348.01</t>
        </is>
      </c>
      <c r="C39" s="6" t="n"/>
      <c r="D39" s="6" t="n"/>
      <c r="E39" s="6" t="n"/>
      <c r="F39" s="6" t="n"/>
      <c r="G39" s="6" t="n"/>
      <c r="H39" s="6" t="n"/>
      <c r="I39" s="6" t="n"/>
      <c r="J39" s="7" t="n"/>
    </row>
    <row r="40">
      <c r="B40" s="8" t="inlineStr">
        <is>
          <t>Contract: Lump Sum $717,400.00 → $722,290.00</t>
        </is>
      </c>
      <c r="C40" s="6" t="n"/>
      <c r="D40" s="6" t="n"/>
      <c r="E40" s="6" t="n"/>
      <c r="F40" s="6" t="n"/>
      <c r="G40" s="6" t="n"/>
      <c r="H40" s="6" t="n"/>
      <c r="I40" s="6" t="n"/>
      <c r="J40" s="7" t="n"/>
    </row>
    <row r="41">
      <c r="B41" s="8" t="inlineStr">
        <is>
          <t>Change Orders (JDR-implied): $4,890.00 net</t>
        </is>
      </c>
      <c r="C41" s="6" t="n"/>
      <c r="D41" s="6" t="n"/>
      <c r="E41" s="6" t="n"/>
      <c r="F41" s="6" t="n"/>
      <c r="G41" s="6" t="n"/>
      <c r="H41" s="6" t="n"/>
      <c r="I41" s="6" t="n"/>
      <c r="J41" s="7" t="n"/>
    </row>
    <row r="42">
      <c r="B42" s="8" t="inlineStr">
        <is>
          <t>Project Team: Tyson Cornett · Tyson Cornett · TBD · Natural &amp; Built · Reuben</t>
        </is>
      </c>
      <c r="C42" s="6" t="n"/>
      <c r="D42" s="6" t="n"/>
      <c r="E42" s="6" t="n"/>
      <c r="F42" s="6" t="n"/>
      <c r="G42" s="6" t="n"/>
      <c r="H42" s="6" t="n"/>
      <c r="I42" s="6" t="n"/>
      <c r="J42" s="7" t="n"/>
    </row>
  </sheetData>
  <mergeCells count="45">
    <mergeCell ref="C16:E16"/>
    <mergeCell ref="F11:J11"/>
    <mergeCell ref="B42:J42"/>
    <mergeCell ref="F10:J10"/>
    <mergeCell ref="F16:J16"/>
    <mergeCell ref="C9:E9"/>
    <mergeCell ref="F19:J19"/>
    <mergeCell ref="F6:J6"/>
    <mergeCell ref="C21:E21"/>
    <mergeCell ref="C12:E12"/>
    <mergeCell ref="B38:J38"/>
    <mergeCell ref="B29:J29"/>
    <mergeCell ref="F7:J7"/>
    <mergeCell ref="C11:E11"/>
    <mergeCell ref="F15:J15"/>
    <mergeCell ref="F21:J21"/>
    <mergeCell ref="B37:J37"/>
    <mergeCell ref="F12:J12"/>
    <mergeCell ref="F20:J20"/>
    <mergeCell ref="C8:E8"/>
    <mergeCell ref="B40:J40"/>
    <mergeCell ref="C17:E17"/>
    <mergeCell ref="F18:J18"/>
    <mergeCell ref="C7:E7"/>
    <mergeCell ref="F8:J8"/>
    <mergeCell ref="B30:J30"/>
    <mergeCell ref="F17:J17"/>
    <mergeCell ref="B33:J33"/>
    <mergeCell ref="C13:E13"/>
    <mergeCell ref="C19:E19"/>
    <mergeCell ref="B32:J32"/>
    <mergeCell ref="C18:E18"/>
    <mergeCell ref="B41:J41"/>
    <mergeCell ref="F13:J13"/>
    <mergeCell ref="C15:E15"/>
    <mergeCell ref="C6:E6"/>
    <mergeCell ref="F9:J9"/>
    <mergeCell ref="B3:J3"/>
    <mergeCell ref="C14:E14"/>
    <mergeCell ref="B39:J39"/>
    <mergeCell ref="B31:J31"/>
    <mergeCell ref="F14:J14"/>
    <mergeCell ref="C20:E20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2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8" customWidth="1" min="2" max="2"/>
    <col width="28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10" customWidth="1" min="9" max="9"/>
    <col width="40" customWidth="1" min="10" max="10"/>
  </cols>
  <sheetData>
    <row r="2" ht="28" customHeight="1">
      <c r="B2" s="1" t="inlineStr">
        <is>
          <t>Budget vs Actual</t>
        </is>
      </c>
    </row>
    <row r="3">
      <c r="B3" s="2" t="inlineStr">
        <is>
          <t>All 22 cost codes from JDR. Contract $717,400 → $722,290.</t>
        </is>
      </c>
    </row>
    <row r="5">
      <c r="B5" s="13" t="inlineStr">
        <is>
          <t>Cost Code</t>
        </is>
      </c>
      <c r="C5" s="13" t="inlineStr">
        <is>
          <t>Description</t>
        </is>
      </c>
      <c r="D5" s="13" t="inlineStr">
        <is>
          <t>Original Budget</t>
        </is>
      </c>
      <c r="E5" s="13" t="inlineStr">
        <is>
          <t>Revised Budget</t>
        </is>
      </c>
      <c r="F5" s="13" t="inlineStr">
        <is>
          <t>Actual</t>
        </is>
      </c>
      <c r="G5" s="13" t="inlineStr">
        <is>
          <t>Variance</t>
        </is>
      </c>
      <c r="H5" s="13" t="inlineStr">
        <is>
          <t>% of Revised</t>
        </is>
      </c>
      <c r="I5" s="13" t="inlineStr">
        <is>
          <t>Hours</t>
        </is>
      </c>
      <c r="J5" s="13" t="inlineStr">
        <is>
          <t>Source</t>
        </is>
      </c>
    </row>
    <row r="6">
      <c r="B6" s="14" t="inlineStr">
        <is>
          <t>100</t>
        </is>
      </c>
      <c r="C6" s="5" t="inlineStr">
        <is>
          <t>Supervision</t>
        </is>
      </c>
      <c r="D6" s="15" t="n">
        <v>9200</v>
      </c>
      <c r="E6" s="15" t="n">
        <v>9200</v>
      </c>
      <c r="F6" s="15" t="n">
        <v>4434</v>
      </c>
      <c r="G6" s="15">
        <f>F6-E6</f>
        <v/>
      </c>
      <c r="H6" s="16">
        <f>IF(E6=0,"",F6/E6)</f>
        <v/>
      </c>
      <c r="I6" s="17" t="n">
        <v>95</v>
      </c>
      <c r="J6" s="8" t="inlineStr">
        <is>
          <t>2035 Job Detail Report.pdf (Sage Timberline, 04/03/2026)</t>
        </is>
      </c>
    </row>
    <row r="7">
      <c r="B7" s="14" t="inlineStr">
        <is>
          <t>101</t>
        </is>
      </c>
      <c r="C7" s="5" t="inlineStr">
        <is>
          <t>Takeoff &amp; Purchase Labor</t>
        </is>
      </c>
      <c r="D7" s="15" t="n">
        <v>9200</v>
      </c>
      <c r="E7" s="15" t="n">
        <v>9450</v>
      </c>
      <c r="F7" s="15" t="n">
        <v>9333</v>
      </c>
      <c r="G7" s="15">
        <f>F7-E7</f>
        <v/>
      </c>
      <c r="H7" s="16">
        <f>IF(E7=0,"",F7/E7)</f>
        <v/>
      </c>
      <c r="I7" s="17" t="n">
        <v>197.5</v>
      </c>
      <c r="J7" s="8" t="inlineStr">
        <is>
          <t>2035 Job Detail Report.pdf (Sage Timberline, 04/03/2026)</t>
        </is>
      </c>
    </row>
    <row r="8">
      <c r="B8" s="14" t="inlineStr">
        <is>
          <t>110</t>
        </is>
      </c>
      <c r="C8" s="5" t="inlineStr">
        <is>
          <t>Underground Labor</t>
        </is>
      </c>
      <c r="D8" s="15" t="n">
        <v>12690</v>
      </c>
      <c r="E8" s="15" t="n">
        <v>12690</v>
      </c>
      <c r="F8" s="15" t="n">
        <v>5630.5</v>
      </c>
      <c r="G8" s="15">
        <f>F8-E8</f>
        <v/>
      </c>
      <c r="H8" s="16">
        <f>IF(E8=0,"",F8/E8)</f>
        <v/>
      </c>
      <c r="I8" s="17" t="n">
        <v>174.5</v>
      </c>
      <c r="J8" s="8" t="inlineStr">
        <is>
          <t>2035 Job Detail Report.pdf (Sage Timberline, 04/03/2026)</t>
        </is>
      </c>
    </row>
    <row r="9">
      <c r="B9" s="14" t="inlineStr">
        <is>
          <t>111</t>
        </is>
      </c>
      <c r="C9" s="5" t="inlineStr">
        <is>
          <t>Garage Labor</t>
        </is>
      </c>
      <c r="D9" s="15" t="n">
        <v>16050</v>
      </c>
      <c r="E9" s="15" t="n">
        <v>16050</v>
      </c>
      <c r="F9" s="15" t="n">
        <v>15337</v>
      </c>
      <c r="G9" s="15">
        <f>F9-E9</f>
        <v/>
      </c>
      <c r="H9" s="16">
        <f>IF(E9=0,"",F9/E9)</f>
        <v/>
      </c>
      <c r="I9" s="17" t="n">
        <v>521.75</v>
      </c>
      <c r="J9" s="8" t="inlineStr">
        <is>
          <t>2035 Job Detail Report.pdf (Sage Timberline, 04/03/2026)</t>
        </is>
      </c>
    </row>
    <row r="10">
      <c r="B10" s="14" t="inlineStr">
        <is>
          <t>112</t>
        </is>
      </c>
      <c r="C10" s="5" t="inlineStr">
        <is>
          <t>Canout Labor</t>
        </is>
      </c>
      <c r="D10" s="15" t="n">
        <v>5120</v>
      </c>
      <c r="E10" s="15" t="n">
        <v>5120</v>
      </c>
      <c r="F10" s="15" t="n">
        <v>4060</v>
      </c>
      <c r="G10" s="15">
        <f>F10-E10</f>
        <v/>
      </c>
      <c r="H10" s="16">
        <f>IF(E10=0,"",F10/E10)</f>
        <v/>
      </c>
      <c r="I10" s="17" t="n">
        <v>125</v>
      </c>
      <c r="J10" s="8" t="inlineStr">
        <is>
          <t>2035 Job Detail Report.pdf (Sage Timberline, 04/03/2026)</t>
        </is>
      </c>
    </row>
    <row r="11">
      <c r="B11" s="14" t="inlineStr">
        <is>
          <t>120</t>
        </is>
      </c>
      <c r="C11" s="5" t="inlineStr">
        <is>
          <t>Roughin Labor</t>
        </is>
      </c>
      <c r="D11" s="15" t="n">
        <v>83320</v>
      </c>
      <c r="E11" s="15" t="n">
        <v>83320</v>
      </c>
      <c r="F11" s="15" t="n">
        <v>65658</v>
      </c>
      <c r="G11" s="15">
        <f>F11-E11</f>
        <v/>
      </c>
      <c r="H11" s="16">
        <f>IF(E11=0,"",F11/E11)</f>
        <v/>
      </c>
      <c r="I11" s="17" t="n">
        <v>2891</v>
      </c>
      <c r="J11" s="8" t="inlineStr">
        <is>
          <t>2035 Job Detail Report.pdf (Sage Timberline, 04/03/2026)</t>
        </is>
      </c>
    </row>
    <row r="12">
      <c r="B12" s="14" t="inlineStr">
        <is>
          <t>130</t>
        </is>
      </c>
      <c r="C12" s="5" t="inlineStr">
        <is>
          <t>Finish Labor</t>
        </is>
      </c>
      <c r="D12" s="15" t="n">
        <v>19110</v>
      </c>
      <c r="E12" s="15" t="n">
        <v>19284</v>
      </c>
      <c r="F12" s="15" t="n">
        <v>15449</v>
      </c>
      <c r="G12" s="15">
        <f>F12-E12</f>
        <v/>
      </c>
      <c r="H12" s="16">
        <f>IF(E12=0,"",F12/E12)</f>
        <v/>
      </c>
      <c r="I12" s="17" t="n">
        <v>590</v>
      </c>
      <c r="J12" s="8" t="inlineStr">
        <is>
          <t>2035 Job Detail Report.pdf (Sage Timberline, 04/03/2026)</t>
        </is>
      </c>
    </row>
    <row r="13">
      <c r="B13" s="14" t="inlineStr">
        <is>
          <t>141</t>
        </is>
      </c>
      <c r="C13" s="5" t="inlineStr">
        <is>
          <t>Water Main/Insulation Lab</t>
        </is>
      </c>
      <c r="D13" s="15" t="n">
        <v>25000</v>
      </c>
      <c r="E13" s="15" t="n">
        <v>25960</v>
      </c>
      <c r="F13" s="15" t="n">
        <v>12963</v>
      </c>
      <c r="G13" s="15">
        <f>F13-E13</f>
        <v/>
      </c>
      <c r="H13" s="16">
        <f>IF(E13=0,"",F13/E13)</f>
        <v/>
      </c>
      <c r="I13" s="17" t="n">
        <v>596</v>
      </c>
      <c r="J13" s="8" t="inlineStr">
        <is>
          <t>2035 Job Detail Report.pdf (Sage Timberline, 04/03/2026)</t>
        </is>
      </c>
    </row>
    <row r="14">
      <c r="B14" s="14" t="inlineStr">
        <is>
          <t>142</t>
        </is>
      </c>
      <c r="C14" s="5" t="inlineStr">
        <is>
          <t>Mech Room Labor</t>
        </is>
      </c>
      <c r="D14" s="15" t="n">
        <v>4200</v>
      </c>
      <c r="E14" s="15" t="n">
        <v>4200</v>
      </c>
      <c r="F14" s="15" t="n">
        <v>588</v>
      </c>
      <c r="G14" s="15">
        <f>F14-E14</f>
        <v/>
      </c>
      <c r="H14" s="16">
        <f>IF(E14=0,"",F14/E14)</f>
        <v/>
      </c>
      <c r="I14" s="17" t="n">
        <v>14</v>
      </c>
      <c r="J14" s="8" t="inlineStr">
        <is>
          <t>2035 Job Detail Report.pdf (Sage Timberline, 04/03/2026)</t>
        </is>
      </c>
    </row>
    <row r="15">
      <c r="B15" s="14" t="inlineStr">
        <is>
          <t>210</t>
        </is>
      </c>
      <c r="C15" s="5" t="inlineStr">
        <is>
          <t>Underground Material</t>
        </is>
      </c>
      <c r="D15" s="15" t="n">
        <v>12700</v>
      </c>
      <c r="E15" s="15" t="n">
        <v>12700</v>
      </c>
      <c r="F15" s="15" t="n">
        <v>8289.110000000001</v>
      </c>
      <c r="G15" s="15">
        <f>F15-E15</f>
        <v/>
      </c>
      <c r="H15" s="16">
        <f>IF(E15=0,"",F15/E15)</f>
        <v/>
      </c>
      <c r="I15" s="17" t="inlineStr"/>
      <c r="J15" s="8" t="inlineStr">
        <is>
          <t>2035 Job Detail Report.pdf (Sage Timberline, 04/03/2026)</t>
        </is>
      </c>
    </row>
    <row r="16">
      <c r="B16" s="14" t="inlineStr">
        <is>
          <t>211</t>
        </is>
      </c>
      <c r="C16" s="5" t="inlineStr">
        <is>
          <t>Garage Material</t>
        </is>
      </c>
      <c r="D16" s="15" t="n">
        <v>20700</v>
      </c>
      <c r="E16" s="15" t="n">
        <v>20700</v>
      </c>
      <c r="F16" s="15" t="n">
        <v>7036.09</v>
      </c>
      <c r="G16" s="15">
        <f>F16-E16</f>
        <v/>
      </c>
      <c r="H16" s="16">
        <f>IF(E16=0,"",F16/E16)</f>
        <v/>
      </c>
      <c r="I16" s="17" t="inlineStr"/>
      <c r="J16" s="8" t="inlineStr">
        <is>
          <t>2035 Job Detail Report.pdf (Sage Timberline, 04/03/2026)</t>
        </is>
      </c>
    </row>
    <row r="17">
      <c r="B17" s="14" t="inlineStr">
        <is>
          <t>212</t>
        </is>
      </c>
      <c r="C17" s="5" t="inlineStr">
        <is>
          <t>Canout Material</t>
        </is>
      </c>
      <c r="D17" s="15" t="n">
        <v>4800</v>
      </c>
      <c r="E17" s="15" t="n">
        <v>4800</v>
      </c>
      <c r="F17" s="15" t="n">
        <v>5117.23</v>
      </c>
      <c r="G17" s="15">
        <f>F17-E17</f>
        <v/>
      </c>
      <c r="H17" s="16">
        <f>IF(E17=0,"",F17/E17)</f>
        <v/>
      </c>
      <c r="I17" s="17" t="inlineStr"/>
      <c r="J17" s="8" t="inlineStr">
        <is>
          <t>2035 Job Detail Report.pdf (Sage Timberline, 04/03/2026)</t>
        </is>
      </c>
    </row>
    <row r="18">
      <c r="B18" s="14" t="inlineStr">
        <is>
          <t>220</t>
        </is>
      </c>
      <c r="C18" s="5" t="inlineStr">
        <is>
          <t>Roughin Material</t>
        </is>
      </c>
      <c r="D18" s="15" t="n">
        <v>35575</v>
      </c>
      <c r="E18" s="15" t="n">
        <v>35575</v>
      </c>
      <c r="F18" s="15" t="n">
        <v>17359.05</v>
      </c>
      <c r="G18" s="15">
        <f>F18-E18</f>
        <v/>
      </c>
      <c r="H18" s="16">
        <f>IF(E18=0,"",F18/E18)</f>
        <v/>
      </c>
      <c r="I18" s="17" t="inlineStr"/>
      <c r="J18" s="8" t="inlineStr">
        <is>
          <t>2035 Job Detail Report.pdf (Sage Timberline, 04/03/2026)</t>
        </is>
      </c>
    </row>
    <row r="19">
      <c r="B19" s="14" t="inlineStr">
        <is>
          <t>230</t>
        </is>
      </c>
      <c r="C19" s="5" t="inlineStr">
        <is>
          <t>Finish Material</t>
        </is>
      </c>
      <c r="D19" s="15" t="n">
        <v>96100</v>
      </c>
      <c r="E19" s="15" t="n">
        <v>94265</v>
      </c>
      <c r="F19" s="15" t="n">
        <v>96906.5</v>
      </c>
      <c r="G19" s="15">
        <f>F19-E19</f>
        <v/>
      </c>
      <c r="H19" s="16">
        <f>IF(E19=0,"",F19/E19)</f>
        <v/>
      </c>
      <c r="I19" s="17" t="inlineStr"/>
      <c r="J19" s="8" t="inlineStr">
        <is>
          <t>2035 Job Detail Report.pdf (Sage Timberline, 04/03/2026)</t>
        </is>
      </c>
    </row>
    <row r="20">
      <c r="B20" s="14" t="inlineStr">
        <is>
          <t>241</t>
        </is>
      </c>
      <c r="C20" s="5" t="inlineStr">
        <is>
          <t>Water Main/Insulation Mat</t>
        </is>
      </c>
      <c r="D20" s="15" t="n">
        <v>36000</v>
      </c>
      <c r="E20" s="15" t="n">
        <v>36300</v>
      </c>
      <c r="F20" s="15" t="n">
        <v>17346.53</v>
      </c>
      <c r="G20" s="15">
        <f>F20-E20</f>
        <v/>
      </c>
      <c r="H20" s="16">
        <f>IF(E20=0,"",F20/E20)</f>
        <v/>
      </c>
      <c r="I20" s="17" t="inlineStr"/>
      <c r="J20" s="8" t="inlineStr">
        <is>
          <t>2035 Job Detail Report.pdf (Sage Timberline, 04/03/2026)</t>
        </is>
      </c>
    </row>
    <row r="21">
      <c r="B21" s="14" t="inlineStr">
        <is>
          <t>242</t>
        </is>
      </c>
      <c r="C21" s="5" t="inlineStr">
        <is>
          <t>Mech Room Material</t>
        </is>
      </c>
      <c r="D21" s="15" t="n">
        <v>6000</v>
      </c>
      <c r="E21" s="15" t="n">
        <v>6000</v>
      </c>
      <c r="F21" s="15" t="n">
        <v>7233.3</v>
      </c>
      <c r="G21" s="15">
        <f>F21-E21</f>
        <v/>
      </c>
      <c r="H21" s="16">
        <f>IF(E21=0,"",F21/E21)</f>
        <v/>
      </c>
      <c r="I21" s="17" t="inlineStr"/>
      <c r="J21" s="8" t="inlineStr">
        <is>
          <t>2035 Job Detail Report.pdf (Sage Timberline, 04/03/2026)</t>
        </is>
      </c>
    </row>
    <row r="22">
      <c r="B22" s="14" t="inlineStr">
        <is>
          <t>243</t>
        </is>
      </c>
      <c r="C22" s="5" t="inlineStr">
        <is>
          <t>Condensation Drains Mat</t>
        </is>
      </c>
      <c r="D22" s="15" t="n">
        <v>0</v>
      </c>
      <c r="E22" s="15" t="n">
        <v>0</v>
      </c>
      <c r="F22" s="15" t="n">
        <v>121.8</v>
      </c>
      <c r="G22" s="15">
        <f>F22-E22</f>
        <v/>
      </c>
      <c r="H22" s="16">
        <f>IF(E22=0,"",F22/E22)</f>
        <v/>
      </c>
      <c r="I22" s="17" t="inlineStr"/>
      <c r="J22" s="8" t="inlineStr">
        <is>
          <t>2035 Job Detail Report.pdf (Sage Timberline, 04/03/2026)</t>
        </is>
      </c>
    </row>
    <row r="23">
      <c r="B23" s="14" t="inlineStr">
        <is>
          <t>600</t>
        </is>
      </c>
      <c r="C23" s="5" t="inlineStr">
        <is>
          <t>Subcontractor</t>
        </is>
      </c>
      <c r="D23" s="15" t="n">
        <v>1000</v>
      </c>
      <c r="E23" s="15" t="n">
        <v>2200</v>
      </c>
      <c r="F23" s="15" t="n">
        <v>1400</v>
      </c>
      <c r="G23" s="15">
        <f>F23-E23</f>
        <v/>
      </c>
      <c r="H23" s="16">
        <f>IF(E23=0,"",F23/E23)</f>
        <v/>
      </c>
      <c r="I23" s="17" t="inlineStr"/>
      <c r="J23" s="8" t="inlineStr">
        <is>
          <t>2035 Job Detail Report.pdf (Sage Timberline, 04/03/2026)</t>
        </is>
      </c>
    </row>
    <row r="24">
      <c r="B24" s="14" t="inlineStr">
        <is>
          <t>603</t>
        </is>
      </c>
      <c r="C24" s="5" t="inlineStr">
        <is>
          <t>Permits &amp; Licenses</t>
        </is>
      </c>
      <c r="D24" s="15" t="n">
        <v>0</v>
      </c>
      <c r="E24" s="15" t="n">
        <v>0</v>
      </c>
      <c r="F24" s="15" t="n">
        <v>109</v>
      </c>
      <c r="G24" s="15">
        <f>F24-E24</f>
        <v/>
      </c>
      <c r="H24" s="16">
        <f>IF(E24=0,"",F24/E24)</f>
        <v/>
      </c>
      <c r="I24" s="17" t="inlineStr"/>
      <c r="J24" s="8" t="inlineStr">
        <is>
          <t>2035 Job Detail Report.pdf (Sage Timberline, 04/03/2026)</t>
        </is>
      </c>
    </row>
    <row r="25">
      <c r="B25" s="14" t="inlineStr">
        <is>
          <t>995</t>
        </is>
      </c>
      <c r="C25" s="5" t="inlineStr">
        <is>
          <t>Payroll Burden</t>
        </is>
      </c>
      <c r="D25" s="15" t="n">
        <v>81302.42</v>
      </c>
      <c r="E25" s="15" t="n">
        <v>81925.22</v>
      </c>
      <c r="F25" s="15" t="n">
        <v>59186.15</v>
      </c>
      <c r="G25" s="15">
        <f>F25-E25</f>
        <v/>
      </c>
      <c r="H25" s="16">
        <f>IF(E25=0,"",F25/E25)</f>
        <v/>
      </c>
      <c r="I25" s="17" t="inlineStr"/>
      <c r="J25" s="8" t="inlineStr">
        <is>
          <t>2035 Job Detail Report.pdf (Sage Timberline, 04/03/2026)</t>
        </is>
      </c>
    </row>
    <row r="26">
      <c r="B26" s="14" t="inlineStr">
        <is>
          <t>998</t>
        </is>
      </c>
      <c r="C26" s="5" t="inlineStr">
        <is>
          <t>Payroll Taxes</t>
        </is>
      </c>
      <c r="D26" s="15" t="n">
        <v>14023.98</v>
      </c>
      <c r="E26" s="15" t="n">
        <v>14129.86</v>
      </c>
      <c r="F26" s="15" t="n">
        <v>10209.45</v>
      </c>
      <c r="G26" s="15">
        <f>F26-E26</f>
        <v/>
      </c>
      <c r="H26" s="16">
        <f>IF(E26=0,"",F26/E26)</f>
        <v/>
      </c>
      <c r="I26" s="17" t="inlineStr"/>
      <c r="J26" s="8" t="inlineStr">
        <is>
          <t>2035 Job Detail Report.pdf (Sage Timberline, 04/03/2026)</t>
        </is>
      </c>
    </row>
    <row r="27">
      <c r="B27" s="14" t="inlineStr">
        <is>
          <t>999</t>
        </is>
      </c>
      <c r="C27" s="5" t="inlineStr">
        <is>
          <t>Sales</t>
        </is>
      </c>
      <c r="D27" s="15" t="n">
        <v>-717400</v>
      </c>
      <c r="E27" s="15" t="n">
        <v>-722290</v>
      </c>
      <c r="F27" s="15" t="n">
        <v>-722290</v>
      </c>
      <c r="G27" s="15">
        <f>F27-E27</f>
        <v/>
      </c>
      <c r="H27" s="16">
        <f>IF(E27=0,"",F27/E27)</f>
        <v/>
      </c>
      <c r="I27" s="17" t="inlineStr"/>
      <c r="J27" s="8" t="inlineStr">
        <is>
          <t>2035 Job Detail Report.pdf (Sage Timberline, 04/03/2026)</t>
        </is>
      </c>
    </row>
    <row r="28">
      <c r="B28" s="18" t="inlineStr">
        <is>
          <t>TOTAL</t>
        </is>
      </c>
      <c r="D28" s="19">
        <f>SUM(D6:D27)</f>
        <v/>
      </c>
      <c r="E28" s="19">
        <f>SUM(E6:E27)</f>
        <v/>
      </c>
      <c r="F28" s="19">
        <f>SUM(F6:F27)</f>
        <v/>
      </c>
      <c r="G28" s="19">
        <f>F28-E28</f>
        <v/>
      </c>
      <c r="I28" s="10">
        <f>SUM(I6:I27)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1"/>
  <sheetViews>
    <sheetView workbookViewId="0">
      <selection activeCell="A1" sqref="A1"/>
    </sheetView>
  </sheetViews>
  <sheetFormatPr baseColWidth="8" defaultRowHeight="15"/>
  <cols>
    <col width="2" customWidth="1" min="1" max="1"/>
    <col width="45" customWidth="1" min="2" max="2"/>
    <col width="40" customWidth="1" min="3" max="3"/>
    <col width="18" customWidth="1" min="4" max="4"/>
    <col width="18" customWidth="1" min="5" max="5"/>
    <col width="18" customWidth="1" min="6" max="6"/>
    <col width="40" customWidth="1" min="7" max="7"/>
  </cols>
  <sheetData>
    <row r="2" ht="28" customHeight="1">
      <c r="B2" s="1" t="inlineStr">
        <is>
          <t>Cost Breakdown by Category</t>
        </is>
      </c>
    </row>
    <row r="3">
      <c r="B3" s="2" t="inlineStr">
        <is>
          <t>Direct cost composition by category from JDR cost codes</t>
        </is>
      </c>
    </row>
    <row r="5">
      <c r="B5" s="13" t="inlineStr">
        <is>
          <t>Category</t>
        </is>
      </c>
      <c r="C5" s="13" t="inlineStr">
        <is>
          <t>Cost Codes</t>
        </is>
      </c>
      <c r="D5" s="13" t="inlineStr">
        <is>
          <t>Actual $</t>
        </is>
      </c>
      <c r="E5" s="13" t="inlineStr">
        <is>
          <t>% of Direct Cost</t>
        </is>
      </c>
      <c r="F5" s="13" t="inlineStr">
        <is>
          <t>% of Revenue</t>
        </is>
      </c>
      <c r="G5" s="13" t="inlineStr">
        <is>
          <t>Source</t>
        </is>
      </c>
    </row>
    <row r="6">
      <c r="B6" s="4" t="inlineStr">
        <is>
          <t>Labor</t>
        </is>
      </c>
      <c r="C6" s="14" t="inlineStr">
        <is>
          <t>100,101,110,111,112,120,130,141,142</t>
        </is>
      </c>
      <c r="D6" s="20" t="n">
        <v>133452.5</v>
      </c>
      <c r="E6" s="16">
        <f>D6/$D$11</f>
        <v/>
      </c>
      <c r="F6" s="16">
        <f>D6/722290.0</f>
        <v/>
      </c>
      <c r="G6" s="8" t="inlineStr">
        <is>
          <t>2035 Job Detail Report.pdf (Sage Timberline, 04/03/2026)</t>
        </is>
      </c>
    </row>
    <row r="7">
      <c r="B7" s="4" t="inlineStr">
        <is>
          <t>Material</t>
        </is>
      </c>
      <c r="C7" s="14" t="inlineStr">
        <is>
          <t>210,211,212,220,230,241,242,243</t>
        </is>
      </c>
      <c r="D7" s="20" t="n">
        <v>159409.61</v>
      </c>
      <c r="E7" s="16">
        <f>D7/$D$11</f>
        <v/>
      </c>
      <c r="F7" s="16">
        <f>D7/722290.0</f>
        <v/>
      </c>
      <c r="G7" s="8" t="inlineStr">
        <is>
          <t>2035 Job Detail Report.pdf (Sage Timberline, 04/03/2026)</t>
        </is>
      </c>
    </row>
    <row r="8">
      <c r="B8" s="4" t="inlineStr">
        <is>
          <t>Subcon+Engineering+Permits+Other</t>
        </is>
      </c>
      <c r="C8" s="14" t="inlineStr">
        <is>
          <t>600,603</t>
        </is>
      </c>
      <c r="D8" s="20" t="n">
        <v>1509</v>
      </c>
      <c r="E8" s="16">
        <f>D8/$D$11</f>
        <v/>
      </c>
      <c r="F8" s="16">
        <f>D8/722290.0</f>
        <v/>
      </c>
      <c r="G8" s="8" t="inlineStr">
        <is>
          <t>2035 Job Detail Report.pdf (Sage Timberline, 04/03/2026)</t>
        </is>
      </c>
    </row>
    <row r="9">
      <c r="B9" s="4" t="inlineStr">
        <is>
          <t>Payroll Burden</t>
        </is>
      </c>
      <c r="C9" s="14" t="inlineStr">
        <is>
          <t>995</t>
        </is>
      </c>
      <c r="D9" s="20" t="n">
        <v>59186.15</v>
      </c>
      <c r="E9" s="16">
        <f>D9/$D$11</f>
        <v/>
      </c>
      <c r="F9" s="16">
        <f>D9/722290.0</f>
        <v/>
      </c>
      <c r="G9" s="8" t="inlineStr">
        <is>
          <t>2035 Job Detail Report.pdf (Sage Timberline, 04/03/2026)</t>
        </is>
      </c>
    </row>
    <row r="10">
      <c r="B10" s="4" t="inlineStr">
        <is>
          <t>Payroll Taxes</t>
        </is>
      </c>
      <c r="C10" s="14" t="inlineStr">
        <is>
          <t>998</t>
        </is>
      </c>
      <c r="D10" s="20" t="n">
        <v>10209.45</v>
      </c>
      <c r="E10" s="16">
        <f>D10/$D$11</f>
        <v/>
      </c>
      <c r="F10" s="16">
        <f>D10/722290.0</f>
        <v/>
      </c>
      <c r="G10" s="8" t="inlineStr">
        <is>
          <t>2035 Job Detail Report.pdf (Sage Timberline, 04/03/2026)</t>
        </is>
      </c>
    </row>
    <row r="11">
      <c r="B11" s="18" t="inlineStr">
        <is>
          <t>TOTAL DIRECT COST</t>
        </is>
      </c>
      <c r="D11" s="21">
        <f>SUM(D6:D10)</f>
        <v/>
      </c>
      <c r="E11" s="22" t="n">
        <v>1</v>
      </c>
      <c r="F11" s="22">
        <f>D11/722290.0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22"/>
  <sheetViews>
    <sheetView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16" customWidth="1" min="4" max="4"/>
    <col width="14" customWidth="1" min="5" max="5"/>
    <col width="26" customWidth="1" min="6" max="6"/>
    <col width="40" customWidth="1" min="7" max="7"/>
  </cols>
  <sheetData>
    <row r="2" ht="28" customHeight="1">
      <c r="B2" s="1" t="inlineStr">
        <is>
          <t>Material Purchases — AP Vendors</t>
        </is>
      </c>
    </row>
    <row r="3">
      <c r="B3" s="2" t="inlineStr">
        <is>
          <t>Material + subcontractor spend by vendor from JDR AP records</t>
        </is>
      </c>
    </row>
    <row r="5">
      <c r="B5" s="13" t="inlineStr">
        <is>
          <t>Vendor ID</t>
        </is>
      </c>
      <c r="C5" s="13" t="inlineStr">
        <is>
          <t>Vendor Name</t>
        </is>
      </c>
      <c r="D5" s="13" t="inlineStr">
        <is>
          <t>Total Spend</t>
        </is>
      </c>
      <c r="E5" s="13" t="inlineStr">
        <is>
          <t># Transactions</t>
        </is>
      </c>
      <c r="F5" s="13" t="inlineStr">
        <is>
          <t>Category (inferred)</t>
        </is>
      </c>
      <c r="G5" s="13" t="inlineStr">
        <is>
          <t>Source</t>
        </is>
      </c>
    </row>
    <row r="6">
      <c r="B6" s="14" t="inlineStr">
        <is>
          <t>2035CS</t>
        </is>
      </c>
      <c r="C6" s="5" t="inlineStr">
        <is>
          <t>Consolidated Supply Co. $162Ten</t>
        </is>
      </c>
      <c r="D6" s="15" t="n">
        <v>63855.40999999999</v>
      </c>
      <c r="E6" s="14" t="n">
        <v>22</v>
      </c>
      <c r="F6" s="14" t="inlineStr">
        <is>
          <t>Plumbing / Supplies</t>
        </is>
      </c>
      <c r="G6" s="8" t="inlineStr">
        <is>
          <t>2035 Job Detail Report.pdf (Sage Timberline, 04/03/2026)</t>
        </is>
      </c>
    </row>
    <row r="7">
      <c r="B7" s="14" t="inlineStr">
        <is>
          <t>2035RS</t>
        </is>
      </c>
      <c r="C7" s="5" t="inlineStr">
        <is>
          <t>Rosen Supply Company, Inc. $162Ten</t>
        </is>
      </c>
      <c r="D7" s="15" t="n">
        <v>54966.50000000002</v>
      </c>
      <c r="E7" s="14" t="n">
        <v>52</v>
      </c>
      <c r="F7" s="14" t="inlineStr">
        <is>
          <t>Plumbing / Supplies</t>
        </is>
      </c>
      <c r="G7" s="8" t="inlineStr">
        <is>
          <t>2035 Job Detail Report.pdf (Sage Timberline, 04/03/2026)</t>
        </is>
      </c>
    </row>
    <row r="8">
      <c r="B8" s="14" t="inlineStr">
        <is>
          <t>2035KS</t>
        </is>
      </c>
      <c r="C8" s="5" t="inlineStr">
        <is>
          <t>Keller Supply Co. $162 Ten</t>
        </is>
      </c>
      <c r="D8" s="15" t="n">
        <v>5440.660000000001</v>
      </c>
      <c r="E8" s="14" t="n">
        <v>8</v>
      </c>
      <c r="F8" s="14" t="inlineStr">
        <is>
          <t>Plumbing / Supplies</t>
        </is>
      </c>
      <c r="G8" s="8" t="inlineStr">
        <is>
          <t>2035 Job Detail Report.pdf (Sage Timberline, 04/03/2026)</t>
        </is>
      </c>
    </row>
    <row r="9">
      <c r="B9" s="14" t="inlineStr">
        <is>
          <t>7423OC</t>
        </is>
      </c>
      <c r="C9" s="5" t="inlineStr">
        <is>
          <t>Old Castle Infrastructure, Inc.</t>
        </is>
      </c>
      <c r="D9" s="15" t="n">
        <v>3511</v>
      </c>
      <c r="E9" s="14" t="n">
        <v>1</v>
      </c>
      <c r="F9" s="14" t="inlineStr">
        <is>
          <t>Uncategorized</t>
        </is>
      </c>
      <c r="G9" s="8" t="inlineStr">
        <is>
          <t>2035 Job Detail Report.pdf (Sage Timberline, 04/03/2026)</t>
        </is>
      </c>
    </row>
    <row r="10">
      <c r="B10" s="14" t="inlineStr">
        <is>
          <t>2031CS</t>
        </is>
      </c>
      <c r="C10" s="5" t="inlineStr">
        <is>
          <t>Consolidated Supply Co. $Iss Gateway</t>
        </is>
      </c>
      <c r="D10" s="15" t="n">
        <v>1855.54</v>
      </c>
      <c r="E10" s="14" t="n">
        <v>1</v>
      </c>
      <c r="F10" s="14" t="inlineStr">
        <is>
          <t>Plumbing / Supplies</t>
        </is>
      </c>
      <c r="G10" s="8" t="inlineStr">
        <is>
          <t>2035 Job Detail Report.pdf (Sage Timberline, 04/03/2026)</t>
        </is>
      </c>
    </row>
    <row r="11">
      <c r="B11" s="14" t="inlineStr">
        <is>
          <t>5919PW</t>
        </is>
      </c>
      <c r="C11" s="5" t="inlineStr">
        <is>
          <t>Patchworks, Inc.</t>
        </is>
      </c>
      <c r="D11" s="15" t="n">
        <v>1200</v>
      </c>
      <c r="E11" s="14" t="n">
        <v>1</v>
      </c>
      <c r="F11" s="14" t="inlineStr">
        <is>
          <t>Uncategorized</t>
        </is>
      </c>
      <c r="G11" s="8" t="inlineStr">
        <is>
          <t>2035 Job Detail Report.pdf (Sage Timberline, 04/03/2026)</t>
        </is>
      </c>
    </row>
    <row r="12">
      <c r="B12" s="14" t="inlineStr">
        <is>
          <t>1130CS</t>
        </is>
      </c>
      <c r="C12" s="5" t="inlineStr">
        <is>
          <t>Consolidated Supply Co.</t>
        </is>
      </c>
      <c r="D12" s="15" t="n">
        <v>1139.94</v>
      </c>
      <c r="E12" s="14" t="n">
        <v>4</v>
      </c>
      <c r="F12" s="14" t="inlineStr">
        <is>
          <t>Plumbing / Supplies</t>
        </is>
      </c>
      <c r="G12" s="8" t="inlineStr">
        <is>
          <t>2035 Job Detail Report.pdf (Sage Timberline, 04/03/2026)</t>
        </is>
      </c>
    </row>
    <row r="13">
      <c r="B13" s="14" t="inlineStr">
        <is>
          <t>5585CH</t>
        </is>
      </c>
      <c r="C13" s="5" t="inlineStr">
        <is>
          <t>Columbia Hydronics</t>
        </is>
      </c>
      <c r="D13" s="15" t="n">
        <v>765</v>
      </c>
      <c r="E13" s="14" t="n">
        <v>1</v>
      </c>
      <c r="F13" s="14" t="inlineStr">
        <is>
          <t>Uncategorized</t>
        </is>
      </c>
      <c r="G13" s="8" t="inlineStr">
        <is>
          <t>2035 Job Detail Report.pdf (Sage Timberline, 04/03/2026)</t>
        </is>
      </c>
    </row>
    <row r="14">
      <c r="B14" s="14" t="inlineStr">
        <is>
          <t>1609QC</t>
        </is>
      </c>
      <c r="C14" s="5" t="inlineStr">
        <is>
          <t>Quality Concrete Products, Inc. $32</t>
        </is>
      </c>
      <c r="D14" s="15" t="n">
        <v>660</v>
      </c>
      <c r="E14" s="14" t="n">
        <v>2</v>
      </c>
      <c r="F14" s="14" t="inlineStr">
        <is>
          <t>Uncategorized</t>
        </is>
      </c>
      <c r="G14" s="8" t="inlineStr">
        <is>
          <t>2035 Job Detail Report.pdf (Sage Timberline, 04/03/2026)</t>
        </is>
      </c>
    </row>
    <row r="15">
      <c r="B15" s="14" t="inlineStr">
        <is>
          <t>5621HD</t>
        </is>
      </c>
      <c r="C15" s="5" t="inlineStr">
        <is>
          <t>Core &amp; Main LP $HD Supply Waterworks</t>
        </is>
      </c>
      <c r="D15" s="15" t="n">
        <v>570</v>
      </c>
      <c r="E15" s="14" t="n">
        <v>1</v>
      </c>
      <c r="F15" s="14" t="inlineStr">
        <is>
          <t>Plumbing / Supplies</t>
        </is>
      </c>
      <c r="G15" s="8" t="inlineStr">
        <is>
          <t>2035 Job Detail Report.pdf (Sage Timberline, 04/03/2026)</t>
        </is>
      </c>
    </row>
    <row r="16">
      <c r="B16" s="14" t="inlineStr">
        <is>
          <t>1380RS</t>
        </is>
      </c>
      <c r="C16" s="5" t="inlineStr">
        <is>
          <t>Rosen Supply Kirkland</t>
        </is>
      </c>
      <c r="D16" s="15" t="n">
        <v>478.37</v>
      </c>
      <c r="E16" s="14" t="n">
        <v>5</v>
      </c>
      <c r="F16" s="14" t="inlineStr">
        <is>
          <t>Plumbing / Supplies</t>
        </is>
      </c>
      <c r="G16" s="8" t="inlineStr">
        <is>
          <t>2035 Job Detail Report.pdf (Sage Timberline, 04/03/2026)</t>
        </is>
      </c>
    </row>
    <row r="17">
      <c r="B17" s="14" t="inlineStr">
        <is>
          <t>1175FE</t>
        </is>
      </c>
      <c r="C17" s="5" t="inlineStr">
        <is>
          <t>Ferguson Enterprises, Inc. #3007</t>
        </is>
      </c>
      <c r="D17" s="15" t="n">
        <v>371.02</v>
      </c>
      <c r="E17" s="14" t="n">
        <v>3</v>
      </c>
      <c r="F17" s="14" t="inlineStr">
        <is>
          <t>Plumbing / Supplies</t>
        </is>
      </c>
      <c r="G17" s="8" t="inlineStr">
        <is>
          <t>2035 Job Detail Report.pdf (Sage Timberline, 04/03/2026)</t>
        </is>
      </c>
    </row>
    <row r="18">
      <c r="B18" s="14" t="inlineStr">
        <is>
          <t>2132MH</t>
        </is>
      </c>
      <c r="C18" s="5" t="inlineStr">
        <is>
          <t>Manor Hardware &amp; Construction Supply</t>
        </is>
      </c>
      <c r="D18" s="15" t="n">
        <v>305.76</v>
      </c>
      <c r="E18" s="14" t="n">
        <v>1</v>
      </c>
      <c r="F18" s="14" t="inlineStr">
        <is>
          <t>Plumbing / Supplies</t>
        </is>
      </c>
      <c r="G18" s="8" t="inlineStr">
        <is>
          <t>2035 Job Detail Report.pdf (Sage Timberline, 04/03/2026)</t>
        </is>
      </c>
    </row>
    <row r="19">
      <c r="B19" s="14" t="inlineStr">
        <is>
          <t>1421RA</t>
        </is>
      </c>
      <c r="C19" s="5" t="inlineStr">
        <is>
          <t>R.A. Brown Backflow Testing</t>
        </is>
      </c>
      <c r="D19" s="15" t="n">
        <v>200</v>
      </c>
      <c r="E19" s="14" t="n">
        <v>2</v>
      </c>
      <c r="F19" s="14" t="inlineStr">
        <is>
          <t>Testing subcontractor</t>
        </is>
      </c>
      <c r="G19" s="8" t="inlineStr">
        <is>
          <t>2035 Job Detail Report.pdf (Sage Timberline, 04/03/2026)</t>
        </is>
      </c>
    </row>
    <row r="20">
      <c r="B20" s="14" t="inlineStr">
        <is>
          <t>1234BA</t>
        </is>
      </c>
      <c r="C20" s="5" t="inlineStr">
        <is>
          <t>Bank of America CC</t>
        </is>
      </c>
      <c r="D20" s="15" t="n">
        <v>109</v>
      </c>
      <c r="E20" s="14" t="n">
        <v>1</v>
      </c>
      <c r="F20" s="14" t="inlineStr">
        <is>
          <t>Uncategorized</t>
        </is>
      </c>
      <c r="G20" s="8" t="inlineStr">
        <is>
          <t>2035 Job Detail Report.pdf (Sage Timberline, 04/03/2026)</t>
        </is>
      </c>
    </row>
    <row r="21">
      <c r="B21" s="14" t="inlineStr">
        <is>
          <t>2034RS</t>
        </is>
      </c>
      <c r="C21" s="5" t="inlineStr">
        <is>
          <t>Rosen Supply Company, Inc. $Park Lane</t>
        </is>
      </c>
      <c r="D21" s="15" t="n">
        <v>0</v>
      </c>
      <c r="E21" s="14" t="n">
        <v>2</v>
      </c>
      <c r="F21" s="14" t="inlineStr">
        <is>
          <t>Plumbing / Supplies</t>
        </is>
      </c>
      <c r="G21" s="8" t="inlineStr">
        <is>
          <t>2035 Job Detail Report.pdf (Sage Timberline, 04/03/2026)</t>
        </is>
      </c>
    </row>
    <row r="22">
      <c r="B22" s="18" t="inlineStr">
        <is>
          <t>TOTAL</t>
        </is>
      </c>
      <c r="D22" s="21">
        <f>SUM(D6:D21)</f>
        <v/>
      </c>
      <c r="E22" s="23">
        <f>SUM(E6:E21)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3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32" customWidth="1" min="3" max="3"/>
    <col width="12" customWidth="1" min="4" max="4"/>
    <col width="14" customWidth="1" min="5" max="5"/>
    <col width="18" customWidth="1" min="6" max="6"/>
    <col width="14" customWidth="1" min="7" max="7"/>
    <col width="40" customWidth="1" min="8" max="8"/>
  </cols>
  <sheetData>
    <row r="2" ht="28" customHeight="1">
      <c r="B2" s="1" t="inlineStr">
        <is>
          <t>Crew &amp; Labor — Worker Roster</t>
        </is>
      </c>
    </row>
    <row r="3">
      <c r="B3" s="2" t="inlineStr">
        <is>
          <t>All 24 unique payroll workers. OWP RI: Reuben.</t>
        </is>
      </c>
    </row>
    <row r="5">
      <c r="B5" s="13" t="inlineStr">
        <is>
          <t>Worker ID</t>
        </is>
      </c>
      <c r="C5" s="13" t="inlineStr">
        <is>
          <t>Worker Name</t>
        </is>
      </c>
      <c r="D5" s="13" t="inlineStr">
        <is>
          <t>Total Hours</t>
        </is>
      </c>
      <c r="E5" s="13" t="inlineStr">
        <is>
          <t>Gross Pay</t>
        </is>
      </c>
      <c r="F5" s="13" t="inlineStr">
        <is>
          <t>Blended Wage ($/hr)</t>
        </is>
      </c>
      <c r="G5" s="13" t="inlineStr">
        <is>
          <t># Work Days</t>
        </is>
      </c>
      <c r="H5" s="13" t="inlineStr">
        <is>
          <t>Source</t>
        </is>
      </c>
    </row>
    <row r="6">
      <c r="B6" s="14" t="inlineStr">
        <is>
          <t>RE18</t>
        </is>
      </c>
      <c r="C6" s="5" t="inlineStr">
        <is>
          <t>Reed, Reuben H</t>
        </is>
      </c>
      <c r="D6" s="17" t="n">
        <v>1092</v>
      </c>
      <c r="E6" s="20" t="n">
        <v>39409.5</v>
      </c>
      <c r="F6" s="20">
        <f>IF(D6=0,0,E6/D6)</f>
        <v/>
      </c>
      <c r="G6" s="14" t="n">
        <v>44</v>
      </c>
      <c r="H6" s="8" t="inlineStr">
        <is>
          <t>2035 Job Detail Report.pdf (Sage Timberline, 04/03/2026)</t>
        </is>
      </c>
    </row>
    <row r="7">
      <c r="B7" s="14" t="inlineStr">
        <is>
          <t>GA70</t>
        </is>
      </c>
      <c r="C7" s="5" t="inlineStr">
        <is>
          <t>Garcia, Jordan X</t>
        </is>
      </c>
      <c r="D7" s="17" t="n">
        <v>1070.5</v>
      </c>
      <c r="E7" s="20" t="n">
        <v>26737.5</v>
      </c>
      <c r="F7" s="20">
        <f>IF(D7=0,0,E7/D7)</f>
        <v/>
      </c>
      <c r="G7" s="14" t="n">
        <v>32</v>
      </c>
      <c r="H7" s="8" t="inlineStr">
        <is>
          <t>2035 Job Detail Report.pdf (Sage Timberline, 04/03/2026)</t>
        </is>
      </c>
    </row>
    <row r="8">
      <c r="B8" s="14" t="inlineStr">
        <is>
          <t>RA55</t>
        </is>
      </c>
      <c r="C8" s="5" t="inlineStr">
        <is>
          <t>Ramos Herrera, Franklin J</t>
        </is>
      </c>
      <c r="D8" s="17" t="n">
        <v>572</v>
      </c>
      <c r="E8" s="20" t="n">
        <v>8884</v>
      </c>
      <c r="F8" s="20">
        <f>IF(D8=0,0,E8/D8)</f>
        <v/>
      </c>
      <c r="G8" s="14" t="n">
        <v>18</v>
      </c>
      <c r="H8" s="8" t="inlineStr">
        <is>
          <t>2035 Job Detail Report.pdf (Sage Timberline, 04/03/2026)</t>
        </is>
      </c>
    </row>
    <row r="9">
      <c r="B9" s="14" t="inlineStr">
        <is>
          <t>JI50</t>
        </is>
      </c>
      <c r="C9" s="5" t="inlineStr">
        <is>
          <t>Jimenez Alvarenga, Gerson M</t>
        </is>
      </c>
      <c r="D9" s="17" t="n">
        <v>556</v>
      </c>
      <c r="E9" s="20" t="n">
        <v>8636</v>
      </c>
      <c r="F9" s="20">
        <f>IF(D9=0,0,E9/D9)</f>
        <v/>
      </c>
      <c r="G9" s="14" t="n">
        <v>17</v>
      </c>
      <c r="H9" s="8" t="inlineStr">
        <is>
          <t>2035 Job Detail Report.pdf (Sage Timberline, 04/03/2026)</t>
        </is>
      </c>
    </row>
    <row r="10">
      <c r="B10" s="14" t="inlineStr">
        <is>
          <t>BE45</t>
        </is>
      </c>
      <c r="C10" s="5" t="inlineStr">
        <is>
          <t>Belcher, Jacob T</t>
        </is>
      </c>
      <c r="D10" s="17" t="n">
        <v>384</v>
      </c>
      <c r="E10" s="20" t="n">
        <v>5760</v>
      </c>
      <c r="F10" s="20">
        <f>IF(D10=0,0,E10/D10)</f>
        <v/>
      </c>
      <c r="G10" s="14" t="n">
        <v>10</v>
      </c>
      <c r="H10" s="8" t="inlineStr">
        <is>
          <t>2035 Job Detail Report.pdf (Sage Timberline, 04/03/2026)</t>
        </is>
      </c>
    </row>
    <row r="11">
      <c r="B11" s="14" t="inlineStr">
        <is>
          <t>ME52</t>
        </is>
      </c>
      <c r="C11" s="5" t="inlineStr">
        <is>
          <t>Mendoza, Edgar E</t>
        </is>
      </c>
      <c r="D11" s="17" t="n">
        <v>257.5</v>
      </c>
      <c r="E11" s="20" t="n">
        <v>4213</v>
      </c>
      <c r="F11" s="20">
        <f>IF(D11=0,0,E11/D11)</f>
        <v/>
      </c>
      <c r="G11" s="14" t="n">
        <v>8</v>
      </c>
      <c r="H11" s="8" t="inlineStr">
        <is>
          <t>2035 Job Detail Report.pdf (Sage Timberline, 04/03/2026)</t>
        </is>
      </c>
    </row>
    <row r="12">
      <c r="B12" s="14" t="inlineStr">
        <is>
          <t>CO69</t>
        </is>
      </c>
      <c r="C12" s="5" t="inlineStr">
        <is>
          <t>Cornejo Orellana, Carlos E</t>
        </is>
      </c>
      <c r="D12" s="17" t="n">
        <v>253.5</v>
      </c>
      <c r="E12" s="20" t="n">
        <v>3890.5</v>
      </c>
      <c r="F12" s="20">
        <f>IF(D12=0,0,E12/D12)</f>
        <v/>
      </c>
      <c r="G12" s="14" t="n">
        <v>8</v>
      </c>
      <c r="H12" s="8" t="inlineStr">
        <is>
          <t>2035 Job Detail Report.pdf (Sage Timberline, 04/03/2026)</t>
        </is>
      </c>
    </row>
    <row r="13">
      <c r="B13" s="14" t="inlineStr">
        <is>
          <t>GE69</t>
        </is>
      </c>
      <c r="C13" s="5" t="inlineStr">
        <is>
          <t>Gerard, Jeffrey S</t>
        </is>
      </c>
      <c r="D13" s="17" t="n">
        <v>231.5</v>
      </c>
      <c r="E13" s="20" t="n">
        <v>10760.5</v>
      </c>
      <c r="F13" s="20">
        <f>IF(D13=0,0,E13/D13)</f>
        <v/>
      </c>
      <c r="G13" s="14" t="n">
        <v>59</v>
      </c>
      <c r="H13" s="8" t="inlineStr">
        <is>
          <t>2035 Job Detail Report.pdf (Sage Timberline, 04/03/2026)</t>
        </is>
      </c>
    </row>
    <row r="14">
      <c r="B14" s="14" t="inlineStr">
        <is>
          <t>GE70</t>
        </is>
      </c>
      <c r="C14" s="5" t="inlineStr">
        <is>
          <t>Gerard, Jordan E</t>
        </is>
      </c>
      <c r="D14" s="17" t="n">
        <v>149</v>
      </c>
      <c r="E14" s="20" t="n">
        <v>4023</v>
      </c>
      <c r="F14" s="20">
        <f>IF(D14=0,0,E14/D14)</f>
        <v/>
      </c>
      <c r="G14" s="14" t="n">
        <v>5</v>
      </c>
      <c r="H14" s="8" t="inlineStr">
        <is>
          <t>2035 Job Detail Report.pdf (Sage Timberline, 04/03/2026)</t>
        </is>
      </c>
    </row>
    <row r="15">
      <c r="B15" s="14" t="inlineStr">
        <is>
          <t>SA54</t>
        </is>
      </c>
      <c r="C15" s="5" t="inlineStr">
        <is>
          <t>Sanders, Allen O</t>
        </is>
      </c>
      <c r="D15" s="17" t="n">
        <v>131.5</v>
      </c>
      <c r="E15" s="20" t="n">
        <v>5523</v>
      </c>
      <c r="F15" s="20">
        <f>IF(D15=0,0,E15/D15)</f>
        <v/>
      </c>
      <c r="G15" s="14" t="n">
        <v>17</v>
      </c>
      <c r="H15" s="8" t="inlineStr">
        <is>
          <t>2035 Job Detail Report.pdf (Sage Timberline, 04/03/2026)</t>
        </is>
      </c>
    </row>
    <row r="16">
      <c r="B16" s="14" t="inlineStr">
        <is>
          <t>GO51</t>
        </is>
      </c>
      <c r="C16" s="5" t="inlineStr">
        <is>
          <t>Gomez Reyes, Edith N</t>
        </is>
      </c>
      <c r="D16" s="17" t="n">
        <v>112</v>
      </c>
      <c r="E16" s="20" t="n">
        <v>2016</v>
      </c>
      <c r="F16" s="20">
        <f>IF(D16=0,0,E16/D16)</f>
        <v/>
      </c>
      <c r="G16" s="14" t="n">
        <v>11</v>
      </c>
      <c r="H16" s="8" t="inlineStr">
        <is>
          <t>2035 Job Detail Report.pdf (Sage Timberline, 04/03/2026)</t>
        </is>
      </c>
    </row>
    <row r="17">
      <c r="B17" s="14" t="inlineStr">
        <is>
          <t>HU06</t>
        </is>
      </c>
      <c r="C17" s="5" t="inlineStr">
        <is>
          <t>Hubbard, Robert W</t>
        </is>
      </c>
      <c r="D17" s="17" t="n">
        <v>101.5</v>
      </c>
      <c r="E17" s="20" t="n">
        <v>4185</v>
      </c>
      <c r="F17" s="20">
        <f>IF(D17=0,0,E17/D17)</f>
        <v/>
      </c>
      <c r="G17" s="14" t="n">
        <v>29</v>
      </c>
      <c r="H17" s="8" t="inlineStr">
        <is>
          <t>2035 Job Detail Report.pdf (Sage Timberline, 04/03/2026)</t>
        </is>
      </c>
    </row>
    <row r="18">
      <c r="B18" s="14" t="inlineStr">
        <is>
          <t>SA51</t>
        </is>
      </c>
      <c r="C18" s="5" t="inlineStr">
        <is>
          <t>Sanchez, Derli</t>
        </is>
      </c>
      <c r="D18" s="17" t="n">
        <v>89.5</v>
      </c>
      <c r="E18" s="20" t="n">
        <v>1611</v>
      </c>
      <c r="F18" s="20">
        <f>IF(D18=0,0,E18/D18)</f>
        <v/>
      </c>
      <c r="G18" s="14" t="n">
        <v>7</v>
      </c>
      <c r="H18" s="8" t="inlineStr">
        <is>
          <t>2035 Job Detail Report.pdf (Sage Timberline, 04/03/2026)</t>
        </is>
      </c>
    </row>
    <row r="19">
      <c r="B19" s="14" t="inlineStr">
        <is>
          <t>DO56</t>
        </is>
      </c>
      <c r="C19" s="5" t="inlineStr">
        <is>
          <t>Donelson, Richard T</t>
        </is>
      </c>
      <c r="D19" s="17" t="n">
        <v>61</v>
      </c>
      <c r="E19" s="20" t="n">
        <v>3006.5</v>
      </c>
      <c r="F19" s="20">
        <f>IF(D19=0,0,E19/D19)</f>
        <v/>
      </c>
      <c r="G19" s="14" t="n">
        <v>30</v>
      </c>
      <c r="H19" s="8" t="inlineStr">
        <is>
          <t>2035 Job Detail Report.pdf (Sage Timberline, 04/03/2026)</t>
        </is>
      </c>
    </row>
    <row r="20">
      <c r="B20" s="14" t="inlineStr">
        <is>
          <t>EL33</t>
        </is>
      </c>
      <c r="C20" s="5" t="inlineStr">
        <is>
          <t>Eliassen, Cory H</t>
        </is>
      </c>
      <c r="D20" s="17" t="n">
        <v>40</v>
      </c>
      <c r="E20" s="20" t="n">
        <v>840</v>
      </c>
      <c r="F20" s="20">
        <f>IF(D20=0,0,E20/D20)</f>
        <v/>
      </c>
      <c r="G20" s="14" t="n">
        <v>2</v>
      </c>
      <c r="H20" s="8" t="inlineStr">
        <is>
          <t>2035 Job Detail Report.pdf (Sage Timberline, 04/03/2026)</t>
        </is>
      </c>
    </row>
    <row r="21">
      <c r="B21" s="14" t="inlineStr">
        <is>
          <t>TA96</t>
        </is>
      </c>
      <c r="C21" s="5" t="inlineStr">
        <is>
          <t>Taylor, Evan R</t>
        </is>
      </c>
      <c r="D21" s="17" t="n">
        <v>40</v>
      </c>
      <c r="E21" s="20" t="n">
        <v>880</v>
      </c>
      <c r="F21" s="20">
        <f>IF(D21=0,0,E21/D21)</f>
        <v/>
      </c>
      <c r="G21" s="14" t="n">
        <v>1</v>
      </c>
      <c r="H21" s="8" t="inlineStr">
        <is>
          <t>2035 Job Detail Report.pdf (Sage Timberline, 04/03/2026)</t>
        </is>
      </c>
    </row>
    <row r="22">
      <c r="B22" s="14" t="inlineStr">
        <is>
          <t>CR79</t>
        </is>
      </c>
      <c r="C22" s="5" t="inlineStr">
        <is>
          <t>Cruz Guzman, Joel A</t>
        </is>
      </c>
      <c r="D22" s="17" t="n">
        <v>32</v>
      </c>
      <c r="E22" s="20" t="n">
        <v>608</v>
      </c>
      <c r="F22" s="20">
        <f>IF(D22=0,0,E22/D22)</f>
        <v/>
      </c>
      <c r="G22" s="14" t="n">
        <v>2</v>
      </c>
      <c r="H22" s="8" t="inlineStr">
        <is>
          <t>2035 Job Detail Report.pdf (Sage Timberline, 04/03/2026)</t>
        </is>
      </c>
    </row>
    <row r="23">
      <c r="B23" s="14" t="inlineStr">
        <is>
          <t>LU09</t>
        </is>
      </c>
      <c r="C23" s="5" t="inlineStr">
        <is>
          <t>Lucas Tzintzun, Rafael</t>
        </is>
      </c>
      <c r="D23" s="17" t="n">
        <v>24</v>
      </c>
      <c r="E23" s="20" t="n">
        <v>384</v>
      </c>
      <c r="F23" s="20">
        <f>IF(D23=0,0,E23/D23)</f>
        <v/>
      </c>
      <c r="G23" s="14" t="n">
        <v>2</v>
      </c>
      <c r="H23" s="8" t="inlineStr">
        <is>
          <t>2035 Job Detail Report.pdf (Sage Timberline, 04/03/2026)</t>
        </is>
      </c>
    </row>
    <row r="24">
      <c r="B24" s="14" t="inlineStr">
        <is>
          <t>CR87</t>
        </is>
      </c>
      <c r="C24" s="5" t="inlineStr">
        <is>
          <t>Cruz Reyes, Jose</t>
        </is>
      </c>
      <c r="D24" s="17" t="n">
        <v>24</v>
      </c>
      <c r="E24" s="20" t="n">
        <v>480</v>
      </c>
      <c r="F24" s="20">
        <f>IF(D24=0,0,E24/D24)</f>
        <v/>
      </c>
      <c r="G24" s="14" t="n">
        <v>2</v>
      </c>
      <c r="H24" s="8" t="inlineStr">
        <is>
          <t>2035 Job Detail Report.pdf (Sage Timberline, 04/03/2026)</t>
        </is>
      </c>
    </row>
    <row r="25">
      <c r="B25" s="14" t="inlineStr">
        <is>
          <t>HO18</t>
        </is>
      </c>
      <c r="C25" s="5" t="inlineStr">
        <is>
          <t>Hoeg, Xavier A</t>
        </is>
      </c>
      <c r="D25" s="17" t="n">
        <v>19</v>
      </c>
      <c r="E25" s="20" t="n">
        <v>285</v>
      </c>
      <c r="F25" s="20">
        <f>IF(D25=0,0,E25/D25)</f>
        <v/>
      </c>
      <c r="G25" s="14" t="n">
        <v>2</v>
      </c>
      <c r="H25" s="8" t="inlineStr">
        <is>
          <t>2035 Job Detail Report.pdf (Sage Timberline, 04/03/2026)</t>
        </is>
      </c>
    </row>
    <row r="26">
      <c r="B26" s="14" t="inlineStr">
        <is>
          <t>HU04</t>
        </is>
      </c>
      <c r="C26" s="5" t="inlineStr">
        <is>
          <t>Hubbard, Dustin R</t>
        </is>
      </c>
      <c r="D26" s="17" t="n">
        <v>14</v>
      </c>
      <c r="E26" s="20" t="n">
        <v>274</v>
      </c>
      <c r="F26" s="20">
        <f>IF(D26=0,0,E26/D26)</f>
        <v/>
      </c>
      <c r="G26" s="14" t="n">
        <v>8</v>
      </c>
      <c r="H26" s="8" t="inlineStr">
        <is>
          <t>2035 Job Detail Report.pdf (Sage Timberline, 04/03/2026)</t>
        </is>
      </c>
    </row>
    <row r="27">
      <c r="B27" s="14" t="inlineStr">
        <is>
          <t>EI74</t>
        </is>
      </c>
      <c r="C27" s="5" t="inlineStr">
        <is>
          <t>Eisenhauer, Tommy J</t>
        </is>
      </c>
      <c r="D27" s="17" t="n">
        <v>12</v>
      </c>
      <c r="E27" s="20" t="n">
        <v>252</v>
      </c>
      <c r="F27" s="20">
        <f>IF(D27=0,0,E27/D27)</f>
        <v/>
      </c>
      <c r="G27" s="14" t="n">
        <v>2</v>
      </c>
      <c r="H27" s="8" t="inlineStr">
        <is>
          <t>2035 Job Detail Report.pdf (Sage Timberline, 04/03/2026)</t>
        </is>
      </c>
    </row>
    <row r="28">
      <c r="B28" s="14" t="inlineStr">
        <is>
          <t>GE71</t>
        </is>
      </c>
      <c r="C28" s="5" t="inlineStr">
        <is>
          <t>Gerard, Mitchell J</t>
        </is>
      </c>
      <c r="D28" s="17" t="n">
        <v>8</v>
      </c>
      <c r="E28" s="20" t="n">
        <v>256</v>
      </c>
      <c r="F28" s="20">
        <f>IF(D28=0,0,E28/D28)</f>
        <v/>
      </c>
      <c r="G28" s="14" t="n">
        <v>1</v>
      </c>
      <c r="H28" s="8" t="inlineStr">
        <is>
          <t>2035 Job Detail Report.pdf (Sage Timberline, 04/03/2026)</t>
        </is>
      </c>
    </row>
    <row r="29">
      <c r="B29" s="14" t="inlineStr">
        <is>
          <t>HO90</t>
        </is>
      </c>
      <c r="C29" s="5" t="inlineStr">
        <is>
          <t>Howey, Shawn M</t>
        </is>
      </c>
      <c r="D29" s="17" t="n">
        <v>4</v>
      </c>
      <c r="E29" s="20" t="n">
        <v>76</v>
      </c>
      <c r="F29" s="20">
        <f>IF(D29=0,0,E29/D29)</f>
        <v/>
      </c>
      <c r="G29" s="14" t="n">
        <v>1</v>
      </c>
      <c r="H29" s="8" t="inlineStr">
        <is>
          <t>2035 Job Detail Report.pdf (Sage Timberline, 04/03/2026)</t>
        </is>
      </c>
    </row>
    <row r="30">
      <c r="B30" s="18" t="inlineStr">
        <is>
          <t>TOTAL</t>
        </is>
      </c>
      <c r="D30" s="10">
        <f>SUM(D6:D29)</f>
        <v/>
      </c>
      <c r="E30" s="9">
        <f>SUM(E6:E29)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6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50" customWidth="1" min="4" max="4"/>
    <col width="40" customWidth="1" min="5" max="5"/>
  </cols>
  <sheetData>
    <row r="2" ht="28" customHeight="1">
      <c r="B2" s="1" t="inlineStr">
        <is>
          <t>Crew Analytics</t>
        </is>
      </c>
    </row>
    <row r="3">
      <c r="B3" s="2" t="inlineStr">
        <is>
          <t>Team-level labor productivity, concentration, wage dispersion</t>
        </is>
      </c>
    </row>
    <row r="5">
      <c r="B5" s="3" t="inlineStr">
        <is>
          <t>TEAM-LEVEL METRICS</t>
        </is>
      </c>
    </row>
    <row r="6">
      <c r="B6" s="13" t="inlineStr">
        <is>
          <t>Metric</t>
        </is>
      </c>
      <c r="C6" s="13" t="inlineStr">
        <is>
          <t>Value</t>
        </is>
      </c>
      <c r="D6" s="13" t="inlineStr">
        <is>
          <t>Notes</t>
        </is>
      </c>
      <c r="E6" s="13" t="inlineStr">
        <is>
          <t>Source</t>
        </is>
      </c>
    </row>
    <row r="7">
      <c r="B7" s="5" t="inlineStr">
        <is>
          <t>Total Workers</t>
        </is>
      </c>
      <c r="C7" s="24" t="n">
        <v>24</v>
      </c>
      <c r="D7" s="5" t="inlineStr">
        <is>
          <t>Unique payroll IDs</t>
        </is>
      </c>
      <c r="E7" s="8" t="inlineStr">
        <is>
          <t>2035 Job Detail Report.pdf (Sage Timberline, 04/03/2026)</t>
        </is>
      </c>
    </row>
    <row r="8">
      <c r="B8" s="5" t="inlineStr">
        <is>
          <t>Total Labor Hours</t>
        </is>
      </c>
      <c r="C8" s="17" t="n">
        <v>5204.75</v>
      </c>
      <c r="D8" s="5" t="inlineStr">
        <is>
          <t>Sum of labor codes</t>
        </is>
      </c>
      <c r="E8" s="8" t="inlineStr">
        <is>
          <t>2035 Job Detail Report.pdf (Sage Timberline, 04/03/2026)</t>
        </is>
      </c>
    </row>
    <row r="9">
      <c r="B9" s="5" t="inlineStr">
        <is>
          <t>Total Gross Pay</t>
        </is>
      </c>
      <c r="C9" s="17" t="n">
        <v>133452.5</v>
      </c>
      <c r="D9" s="5" t="inlineStr">
        <is>
          <t>Sum of labor codes</t>
        </is>
      </c>
      <c r="E9" s="8" t="inlineStr">
        <is>
          <t>2035 Job Detail Report.pdf (Sage Timberline, 04/03/2026)</t>
        </is>
      </c>
    </row>
    <row r="10">
      <c r="B10" s="5" t="inlineStr">
        <is>
          <t>Blended Gross Wage ($/hr)</t>
        </is>
      </c>
      <c r="C10" s="20" t="n">
        <v>25.64052067822662</v>
      </c>
      <c r="D10" s="5" t="inlineStr">
        <is>
          <t>Labor$/Hrs (pre-burden)</t>
        </is>
      </c>
      <c r="E10" s="8" t="inlineStr">
        <is>
          <t>Derived</t>
        </is>
      </c>
    </row>
    <row r="11">
      <c r="B11" s="5" t="inlineStr">
        <is>
          <t>Top Worker Hours Share</t>
        </is>
      </c>
      <c r="C11" s="16" t="n">
        <v>0.2098083481435228</v>
      </c>
      <c r="D11" s="5" t="inlineStr">
        <is>
          <t>RE18 Reed, Reuben H (1092 hrs)</t>
        </is>
      </c>
      <c r="E11" s="8" t="inlineStr">
        <is>
          <t>Derived</t>
        </is>
      </c>
    </row>
    <row r="12">
      <c r="B12" s="5" t="inlineStr">
        <is>
          <t>Top 5 Workers Hours Share</t>
        </is>
      </c>
      <c r="C12" s="16" t="n">
        <v>0.7059897209279985</v>
      </c>
      <c r="D12" s="5" t="inlineStr">
        <is>
          <t>Concentration metric</t>
        </is>
      </c>
      <c r="E12" s="8" t="inlineStr">
        <is>
          <t>Derived</t>
        </is>
      </c>
    </row>
    <row r="13">
      <c r="B13" s="5" t="inlineStr">
        <is>
          <t>Highest Wage Rate ($/hr)</t>
        </is>
      </c>
      <c r="C13" s="20" t="n">
        <v>49.28688524590164</v>
      </c>
      <c r="D13" s="5" t="inlineStr">
        <is>
          <t>Single-worker blended</t>
        </is>
      </c>
      <c r="E13" s="8" t="inlineStr">
        <is>
          <t>Derived</t>
        </is>
      </c>
    </row>
    <row r="14">
      <c r="B14" s="5" t="inlineStr">
        <is>
          <t>Lowest Wage Rate ($/hr)</t>
        </is>
      </c>
      <c r="C14" s="20" t="n">
        <v>15</v>
      </c>
      <c r="D14" s="5" t="inlineStr">
        <is>
          <t>Single-worker blended</t>
        </is>
      </c>
      <c r="E14" s="8" t="inlineStr">
        <is>
          <t>Derived</t>
        </is>
      </c>
    </row>
    <row r="15">
      <c r="B15" s="5" t="inlineStr">
        <is>
          <t>Avg Hours per Worker</t>
        </is>
      </c>
      <c r="C15" s="17" t="n">
        <v>216.8645833333333</v>
      </c>
      <c r="D15" s="5" t="inlineStr">
        <is>
          <t>Includes short-tenure workers</t>
        </is>
      </c>
      <c r="E15" s="8" t="inlineStr">
        <is>
          <t>Derived</t>
        </is>
      </c>
    </row>
    <row r="16">
      <c r="B16" s="5" t="inlineStr">
        <is>
          <t>Avg Project Days per Worker</t>
        </is>
      </c>
      <c r="C16" s="17" t="n">
        <v>13.25</v>
      </c>
      <c r="D16" s="5" t="inlineStr">
        <is>
          <t>Mean days</t>
        </is>
      </c>
      <c r="E16" s="8" t="inlineStr">
        <is>
          <t>Derived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23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6" customWidth="1" min="3" max="3"/>
    <col width="12" customWidth="1" min="4" max="4"/>
    <col width="44" customWidth="1" min="5" max="5"/>
  </cols>
  <sheetData>
    <row r="2" ht="28" customHeight="1">
      <c r="B2" s="1" t="inlineStr">
        <is>
          <t>Productivity Metrics</t>
        </is>
      </c>
    </row>
    <row r="3">
      <c r="B3" s="2" t="inlineStr">
        <is>
          <t>Normalized ratios. Per-unit from 92 units.</t>
        </is>
      </c>
    </row>
    <row r="5">
      <c r="B5" s="13" t="inlineStr">
        <is>
          <t>Metric</t>
        </is>
      </c>
      <c r="C5" s="13" t="inlineStr">
        <is>
          <t>Value</t>
        </is>
      </c>
      <c r="D5" s="13" t="inlineStr">
        <is>
          <t>Basis</t>
        </is>
      </c>
      <c r="E5" s="13" t="inlineStr">
        <is>
          <t>Source / Note</t>
        </is>
      </c>
    </row>
    <row r="6">
      <c r="B6" s="5" t="inlineStr">
        <is>
          <t>Revenue per Labor Hour</t>
        </is>
      </c>
      <c r="C6" s="20" t="n">
        <v>138.7751573082281</v>
      </c>
      <c r="D6" s="14" t="inlineStr">
        <is>
          <t>USD/hr</t>
        </is>
      </c>
      <c r="E6" s="8" t="inlineStr"/>
    </row>
    <row r="7">
      <c r="B7" s="5" t="inlineStr">
        <is>
          <t>Profit per Labor Hour</t>
        </is>
      </c>
      <c r="C7" s="20" t="n">
        <v>68.88386377827945</v>
      </c>
      <c r="D7" s="14" t="inlineStr">
        <is>
          <t>USD/hr</t>
        </is>
      </c>
      <c r="E7" s="8" t="inlineStr"/>
    </row>
    <row r="8">
      <c r="B8" s="5" t="inlineStr">
        <is>
          <t>Labor Cost per Hour (blended)</t>
        </is>
      </c>
      <c r="C8" s="20" t="n">
        <v>25.64052067822662</v>
      </c>
      <c r="D8" s="14" t="inlineStr">
        <is>
          <t>USD/hr</t>
        </is>
      </c>
      <c r="E8" s="8" t="inlineStr">
        <is>
          <t>Pre-burden</t>
        </is>
      </c>
    </row>
    <row r="9">
      <c r="B9" s="5" t="inlineStr">
        <is>
          <t>Fully-Loaded Labor Rate ($/hr)</t>
        </is>
      </c>
      <c r="C9" s="20" t="n">
        <v>38.97364907056055</v>
      </c>
      <c r="D9" s="14" t="inlineStr">
        <is>
          <t>USD/hr</t>
        </is>
      </c>
      <c r="E9" s="8" t="inlineStr">
        <is>
          <t>Incl burden+taxes</t>
        </is>
      </c>
    </row>
    <row r="10">
      <c r="B10" s="5" t="inlineStr">
        <is>
          <t>Burden Multiplier</t>
        </is>
      </c>
      <c r="C10" s="25" t="n">
        <v>1.520002247990858</v>
      </c>
      <c r="D10" s="14" t="inlineStr">
        <is>
          <t>x</t>
        </is>
      </c>
      <c r="E10" s="8" t="inlineStr">
        <is>
          <t>Fully-loaded/blended</t>
        </is>
      </c>
    </row>
    <row r="11">
      <c r="B11" s="5" t="inlineStr">
        <is>
          <t>Rough-in Hours (code 120)</t>
        </is>
      </c>
      <c r="C11" s="17" t="n">
        <v>2891</v>
      </c>
      <c r="D11" s="14" t="inlineStr">
        <is>
          <t>hrs</t>
        </is>
      </c>
      <c r="E11" s="8" t="inlineStr"/>
    </row>
    <row r="12">
      <c r="B12" s="5" t="inlineStr">
        <is>
          <t>Finish Hours (code 130)</t>
        </is>
      </c>
      <c r="C12" s="17" t="n">
        <v>590</v>
      </c>
      <c r="D12" s="14" t="inlineStr">
        <is>
          <t>hrs</t>
        </is>
      </c>
      <c r="E12" s="8" t="inlineStr"/>
    </row>
    <row r="13">
      <c r="B13" s="5" t="inlineStr">
        <is>
          <t>Rough-in % of Total Hours</t>
        </is>
      </c>
      <c r="C13" s="16" t="n">
        <v>0.5554541524568903</v>
      </c>
      <c r="D13" s="14" t="inlineStr">
        <is>
          <t>%</t>
        </is>
      </c>
      <c r="E13" s="8" t="inlineStr"/>
    </row>
    <row r="14">
      <c r="B14" s="5" t="inlineStr">
        <is>
          <t>Gross Margin</t>
        </is>
      </c>
      <c r="C14" s="16" t="n">
        <v>0.4963702806352019</v>
      </c>
      <c r="D14" s="14" t="inlineStr">
        <is>
          <t>%</t>
        </is>
      </c>
      <c r="E14" s="8" t="inlineStr"/>
    </row>
    <row r="15">
      <c r="B15" s="5" t="inlineStr">
        <is>
          <t>Labor % of Revenue</t>
        </is>
      </c>
      <c r="C15" s="16" t="n">
        <v>0.184763045314209</v>
      </c>
      <c r="D15" s="14" t="inlineStr">
        <is>
          <t>%</t>
        </is>
      </c>
      <c r="E15" s="8" t="inlineStr"/>
    </row>
    <row r="16">
      <c r="B16" s="5" t="inlineStr">
        <is>
          <t>Material % of Revenue</t>
        </is>
      </c>
      <c r="C16" s="16" t="n">
        <v>0.2207002865884893</v>
      </c>
      <c r="D16" s="14" t="inlineStr">
        <is>
          <t>%</t>
        </is>
      </c>
      <c r="E16" s="8" t="inlineStr"/>
    </row>
    <row r="17">
      <c r="B17" s="5" t="inlineStr">
        <is>
          <t>Direct Cost Ratio</t>
        </is>
      </c>
      <c r="C17" s="16" t="n">
        <v>0.5036297193647981</v>
      </c>
      <c r="D17" s="14" t="inlineStr">
        <is>
          <t>%</t>
        </is>
      </c>
      <c r="E17" s="8" t="inlineStr">
        <is>
          <t>All exp/Rev</t>
        </is>
      </c>
    </row>
    <row r="18">
      <c r="B18" s="5" t="inlineStr">
        <is>
          <t>Revenue per Unit (92)</t>
        </is>
      </c>
      <c r="C18" s="20" t="n">
        <v>7850.978260869565</v>
      </c>
      <c r="D18" s="14" t="inlineStr">
        <is>
          <t>USD</t>
        </is>
      </c>
      <c r="E18" s="8" t="inlineStr">
        <is>
          <t>92 units</t>
        </is>
      </c>
    </row>
    <row r="19">
      <c r="B19" s="5" t="inlineStr">
        <is>
          <t>Labor Hours per Unit</t>
        </is>
      </c>
      <c r="C19" s="17" t="n">
        <v>56.57336956521739</v>
      </c>
      <c r="D19" s="14" t="inlineStr">
        <is>
          <t>hrs</t>
        </is>
      </c>
      <c r="E19" s="8" t="inlineStr"/>
    </row>
    <row r="20">
      <c r="B20" s="5" t="inlineStr">
        <is>
          <t>Labor Cost per Unit</t>
        </is>
      </c>
      <c r="C20" s="20" t="n">
        <v>1450.570652173913</v>
      </c>
      <c r="D20" s="14" t="inlineStr">
        <is>
          <t>USD</t>
        </is>
      </c>
      <c r="E20" s="8" t="inlineStr"/>
    </row>
    <row r="21">
      <c r="B21" s="5" t="inlineStr">
        <is>
          <t>Material Cost per Unit</t>
        </is>
      </c>
      <c r="C21" s="20" t="n">
        <v>1732.713152173912</v>
      </c>
      <c r="D21" s="14" t="inlineStr">
        <is>
          <t>USD</t>
        </is>
      </c>
      <c r="E21" s="8" t="inlineStr"/>
    </row>
    <row r="22">
      <c r="B22" s="5" t="inlineStr">
        <is>
          <t>Direct Cost per Unit</t>
        </is>
      </c>
      <c r="C22" s="20" t="n">
        <v>3953.98597826087</v>
      </c>
      <c r="D22" s="14" t="inlineStr">
        <is>
          <t>USD</t>
        </is>
      </c>
      <c r="E22" s="8" t="inlineStr"/>
    </row>
    <row r="23">
      <c r="B23" s="5" t="inlineStr">
        <is>
          <t>Rough-in Hours per Unit</t>
        </is>
      </c>
      <c r="C23" s="17" t="n">
        <v>31.42391304347826</v>
      </c>
      <c r="D23" s="14" t="inlineStr">
        <is>
          <t>hrs</t>
        </is>
      </c>
      <c r="E23" s="8" t="inlineStr"/>
    </row>
  </sheetData>
  <mergeCells count="2">
    <mergeCell ref="B3:J3"/>
    <mergeCell ref="B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8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8" customWidth="1" min="3" max="3"/>
    <col width="22" customWidth="1" min="4" max="4"/>
    <col width="22" customWidth="1" min="5" max="5"/>
    <col width="18" customWidth="1" min="6" max="6"/>
    <col width="42" customWidth="1" min="7" max="7"/>
    <col width="14" customWidth="1" min="8" max="8"/>
    <col width="42" customWidth="1" min="9" max="9"/>
  </cols>
  <sheetData>
    <row r="2" ht="28" customHeight="1">
      <c r="B2" s="1" t="inlineStr">
        <is>
          <t>PO Commitments</t>
        </is>
      </c>
    </row>
    <row r="3">
      <c r="B3" s="2" t="inlineStr">
        <is>
          <t>Inbound contract (GC → OWP). Outbound vendor commitments — see Material tab.</t>
        </is>
      </c>
    </row>
    <row r="5">
      <c r="B5" s="13" t="inlineStr">
        <is>
          <t>PO #</t>
        </is>
      </c>
      <c r="C5" s="13" t="inlineStr">
        <is>
          <t>Date</t>
        </is>
      </c>
      <c r="D5" s="13" t="inlineStr">
        <is>
          <t>Issuer</t>
        </is>
      </c>
      <c r="E5" s="13" t="inlineStr">
        <is>
          <t>Type</t>
        </is>
      </c>
      <c r="F5" s="13" t="inlineStr">
        <is>
          <t>Status</t>
        </is>
      </c>
      <c r="G5" s="13" t="inlineStr">
        <is>
          <t>Description</t>
        </is>
      </c>
      <c r="H5" s="13" t="inlineStr">
        <is>
          <t>Amount</t>
        </is>
      </c>
      <c r="I5" s="13" t="inlineStr">
        <is>
          <t>Source</t>
        </is>
      </c>
    </row>
    <row r="6">
      <c r="B6" s="14" t="inlineStr">
        <is>
          <t>PRIME</t>
        </is>
      </c>
      <c r="C6" s="5" t="inlineStr">
        <is>
          <t>2016-08-16</t>
        </is>
      </c>
      <c r="D6" s="5" t="inlineStr">
        <is>
          <t>Natural &amp; Built LLC</t>
        </is>
      </c>
      <c r="E6" s="14" t="inlineStr">
        <is>
          <t>Lump Sum Subcontract</t>
        </is>
      </c>
      <c r="F6" s="26" t="inlineStr">
        <is>
          <t>Closed</t>
        </is>
      </c>
      <c r="G6" s="5" t="inlineStr">
        <is>
          <t>162 Ten Apartments plumbing (92 units) — per Div 22</t>
        </is>
      </c>
      <c r="H6" s="20" t="n">
        <v>717400</v>
      </c>
      <c r="I6" s="8" t="inlineStr">
        <is>
          <t>2035-Natural &amp; Built LLC subcontract + Job Info sheet</t>
        </is>
      </c>
    </row>
    <row r="7">
      <c r="B7" s="14" t="inlineStr">
        <is>
          <t>CO-NET</t>
        </is>
      </c>
      <c r="C7" s="5" t="inlineStr">
        <is>
          <t>—</t>
        </is>
      </c>
      <c r="D7" s="5" t="inlineStr">
        <is>
          <t>Natural &amp; Built LLC</t>
        </is>
      </c>
      <c r="E7" s="14" t="inlineStr">
        <is>
          <t>Change Orders (net, JDR-implied)</t>
        </is>
      </c>
      <c r="F7" s="26" t="inlineStr">
        <is>
          <t>Executed</t>
        </is>
      </c>
      <c r="G7" s="5" t="inlineStr">
        <is>
          <t>Net CO impact (Sage 999 rev - orig)</t>
        </is>
      </c>
      <c r="H7" s="15" t="n">
        <v>4890</v>
      </c>
      <c r="I7" s="8" t="inlineStr">
        <is>
          <t>2035 Job Detail Report.pdf (Sage Timberline, 04/03/2026)</t>
        </is>
      </c>
    </row>
    <row r="8">
      <c r="B8" s="18" t="inlineStr">
        <is>
          <t>TOTAL (contract + COs)</t>
        </is>
      </c>
      <c r="H8" s="21">
        <f>SUM(H6:H7)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24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8" customWidth="1" min="4" max="4"/>
    <col width="16" customWidth="1" min="5" max="5"/>
    <col width="10" customWidth="1" min="6" max="6"/>
    <col width="50" customWidth="1" min="7" max="7"/>
  </cols>
  <sheetData>
    <row r="2" ht="28" customHeight="1">
      <c r="B2" s="1" t="inlineStr">
        <is>
          <t>Billing &amp; Schedule of Values</t>
        </is>
      </c>
    </row>
    <row r="3">
      <c r="B3" s="2" t="inlineStr">
        <is>
          <t>18 invoices to Natural &amp; Built LLC. Retainage $36,114.51.</t>
        </is>
      </c>
    </row>
    <row r="5">
      <c r="B5" s="13" t="inlineStr">
        <is>
          <t>Invoice #</t>
        </is>
      </c>
      <c r="C5" s="13" t="inlineStr">
        <is>
          <t>Date</t>
        </is>
      </c>
      <c r="D5" s="13" t="inlineStr">
        <is>
          <t>Total Billed (signed)</t>
        </is>
      </c>
      <c r="E5" s="13" t="inlineStr">
        <is>
          <t>Retainage (signed)</t>
        </is>
      </c>
      <c r="F5" s="13" t="inlineStr">
        <is>
          <t># Lines</t>
        </is>
      </c>
      <c r="G5" s="13" t="inlineStr">
        <is>
          <t>Source</t>
        </is>
      </c>
    </row>
    <row r="6">
      <c r="B6" s="14" t="inlineStr">
        <is>
          <t>036806</t>
        </is>
      </c>
      <c r="C6" s="14" t="inlineStr">
        <is>
          <t>12/02/16</t>
        </is>
      </c>
      <c r="D6" s="15" t="n">
        <v>-36800</v>
      </c>
      <c r="E6" s="15" t="n">
        <v>-1840</v>
      </c>
      <c r="F6" s="14" t="n">
        <v>1</v>
      </c>
      <c r="G6" s="8" t="inlineStr">
        <is>
          <t>2035 Job Detail Report.pdf (Sage Timberline, 04/03/2026)</t>
        </is>
      </c>
    </row>
    <row r="7">
      <c r="B7" s="14" t="inlineStr">
        <is>
          <t>036835</t>
        </is>
      </c>
      <c r="C7" s="14" t="inlineStr">
        <is>
          <t>02/20/17</t>
        </is>
      </c>
      <c r="D7" s="15" t="n">
        <v>-18400</v>
      </c>
      <c r="E7" s="15" t="n">
        <v>-920</v>
      </c>
      <c r="F7" s="14" t="n">
        <v>1</v>
      </c>
      <c r="G7" s="8" t="inlineStr">
        <is>
          <t>2035 Job Detail Report.pdf (Sage Timberline, 04/03/2026)</t>
        </is>
      </c>
    </row>
    <row r="8">
      <c r="B8" s="14" t="inlineStr">
        <is>
          <t>036849</t>
        </is>
      </c>
      <c r="C8" s="14" t="inlineStr">
        <is>
          <t>03/17/17</t>
        </is>
      </c>
      <c r="D8" s="15" t="n">
        <v>-7290</v>
      </c>
      <c r="E8" s="15" t="n">
        <v>-364.5</v>
      </c>
      <c r="F8" s="14" t="n">
        <v>1</v>
      </c>
      <c r="G8" s="8" t="inlineStr">
        <is>
          <t>2035 Job Detail Report.pdf (Sage Timberline, 04/03/2026)</t>
        </is>
      </c>
    </row>
    <row r="9">
      <c r="B9" s="14" t="inlineStr">
        <is>
          <t>036862</t>
        </is>
      </c>
      <c r="C9" s="14" t="inlineStr">
        <is>
          <t>04/20/17</t>
        </is>
      </c>
      <c r="D9" s="15" t="n">
        <v>-39410</v>
      </c>
      <c r="E9" s="15" t="n">
        <v>-1970.5</v>
      </c>
      <c r="F9" s="14" t="n">
        <v>2</v>
      </c>
      <c r="G9" s="8" t="inlineStr">
        <is>
          <t>2035 Job Detail Report.pdf (Sage Timberline, 04/03/2026)</t>
        </is>
      </c>
    </row>
    <row r="10">
      <c r="B10" s="14" t="inlineStr">
        <is>
          <t>036872</t>
        </is>
      </c>
      <c r="C10" s="14" t="inlineStr">
        <is>
          <t>04/20/17</t>
        </is>
      </c>
      <c r="D10" s="15" t="n">
        <v>39410</v>
      </c>
      <c r="E10" s="15" t="n">
        <v>1970.5</v>
      </c>
      <c r="F10" s="14" t="n">
        <v>2</v>
      </c>
      <c r="G10" s="8" t="inlineStr">
        <is>
          <t>2035 Job Detail Report.pdf (Sage Timberline, 04/03/2026)</t>
        </is>
      </c>
    </row>
    <row r="11">
      <c r="B11" s="14" t="inlineStr">
        <is>
          <t>036873</t>
        </is>
      </c>
      <c r="C11" s="14" t="inlineStr">
        <is>
          <t>04/20/17</t>
        </is>
      </c>
      <c r="D11" s="15" t="n">
        <v>-39126</v>
      </c>
      <c r="E11" s="15" t="n">
        <v>-1956.3</v>
      </c>
      <c r="F11" s="14" t="n">
        <v>2</v>
      </c>
      <c r="G11" s="8" t="inlineStr">
        <is>
          <t>2035 Job Detail Report.pdf (Sage Timberline, 04/03/2026)</t>
        </is>
      </c>
    </row>
    <row r="12">
      <c r="B12" s="14" t="inlineStr">
        <is>
          <t>036882</t>
        </is>
      </c>
      <c r="C12" s="14" t="inlineStr">
        <is>
          <t>05/19/17</t>
        </is>
      </c>
      <c r="D12" s="15" t="n">
        <v>-177657</v>
      </c>
      <c r="E12" s="15" t="n">
        <v>-8882.85</v>
      </c>
      <c r="F12" s="14" t="n">
        <v>9</v>
      </c>
      <c r="G12" s="8" t="inlineStr">
        <is>
          <t>2035 Job Detail Report.pdf (Sage Timberline, 04/03/2026)</t>
        </is>
      </c>
    </row>
    <row r="13">
      <c r="B13" s="14" t="inlineStr">
        <is>
          <t>036890</t>
        </is>
      </c>
      <c r="C13" s="14" t="inlineStr">
        <is>
          <t>06/01/17</t>
        </is>
      </c>
      <c r="D13" s="15" t="n">
        <v>177657</v>
      </c>
      <c r="E13" s="15" t="n">
        <v>8882.85</v>
      </c>
      <c r="F13" s="14" t="n">
        <v>9</v>
      </c>
      <c r="G13" s="8" t="inlineStr">
        <is>
          <t>2035 Job Detail Report.pdf (Sage Timberline, 04/03/2026)</t>
        </is>
      </c>
    </row>
    <row r="14">
      <c r="B14" s="14" t="inlineStr">
        <is>
          <t>036891</t>
        </is>
      </c>
      <c r="C14" s="14" t="inlineStr">
        <is>
          <t>06/01/17</t>
        </is>
      </c>
      <c r="D14" s="15" t="n">
        <v>-177657.5</v>
      </c>
      <c r="E14" s="15" t="n">
        <v>-8882.880000000001</v>
      </c>
      <c r="F14" s="14" t="n">
        <v>9</v>
      </c>
      <c r="G14" s="8" t="inlineStr">
        <is>
          <t>2035 Job Detail Report.pdf (Sage Timberline, 04/03/2026)</t>
        </is>
      </c>
    </row>
    <row r="15">
      <c r="B15" s="14" t="inlineStr">
        <is>
          <t>036898</t>
        </is>
      </c>
      <c r="C15" s="14" t="inlineStr">
        <is>
          <t>06/19/17</t>
        </is>
      </c>
      <c r="D15" s="15" t="n">
        <v>-231966.5</v>
      </c>
      <c r="E15" s="15" t="n">
        <v>-11598.33</v>
      </c>
      <c r="F15" s="14" t="n">
        <v>13</v>
      </c>
      <c r="G15" s="8" t="inlineStr">
        <is>
          <t>2035 Job Detail Report.pdf (Sage Timberline, 04/03/2026)</t>
        </is>
      </c>
    </row>
    <row r="16">
      <c r="B16" s="14" t="inlineStr">
        <is>
          <t>036922</t>
        </is>
      </c>
      <c r="C16" s="14" t="inlineStr">
        <is>
          <t>07/20/17</t>
        </is>
      </c>
      <c r="D16" s="15" t="n">
        <v>-91750</v>
      </c>
      <c r="E16" s="15" t="n">
        <v>-4587.5</v>
      </c>
      <c r="F16" s="14" t="n">
        <v>1</v>
      </c>
      <c r="G16" s="8" t="inlineStr">
        <is>
          <t>2035 Job Detail Report.pdf (Sage Timberline, 04/03/2026)</t>
        </is>
      </c>
    </row>
    <row r="17">
      <c r="B17" s="14" t="inlineStr">
        <is>
          <t>036926</t>
        </is>
      </c>
      <c r="C17" s="14" t="inlineStr">
        <is>
          <t>08/18/17</t>
        </is>
      </c>
      <c r="D17" s="15" t="n">
        <v>-31210</v>
      </c>
      <c r="E17" s="15" t="n">
        <v>-1560.5</v>
      </c>
      <c r="F17" s="14" t="n">
        <v>1</v>
      </c>
      <c r="G17" s="8" t="inlineStr">
        <is>
          <t>2035 Job Detail Report.pdf (Sage Timberline, 04/03/2026)</t>
        </is>
      </c>
    </row>
    <row r="18">
      <c r="B18" s="14" t="inlineStr">
        <is>
          <t>036984</t>
        </is>
      </c>
      <c r="C18" s="14" t="inlineStr">
        <is>
          <t>11/17/17</t>
        </is>
      </c>
      <c r="D18" s="15" t="n">
        <v>-22450</v>
      </c>
      <c r="E18" s="15" t="n">
        <v>-1122.5</v>
      </c>
      <c r="F18" s="14" t="n">
        <v>1</v>
      </c>
      <c r="G18" s="8" t="inlineStr">
        <is>
          <t>2035 Job Detail Report.pdf (Sage Timberline, 04/03/2026)</t>
        </is>
      </c>
    </row>
    <row r="19">
      <c r="B19" s="14" t="inlineStr">
        <is>
          <t>036996</t>
        </is>
      </c>
      <c r="C19" s="14" t="inlineStr">
        <is>
          <t>12/15/17</t>
        </is>
      </c>
      <c r="D19" s="15" t="n">
        <v>-23145</v>
      </c>
      <c r="E19" s="15" t="n">
        <v>-1157.25</v>
      </c>
      <c r="F19" s="14" t="n">
        <v>1</v>
      </c>
      <c r="G19" s="8" t="inlineStr">
        <is>
          <t>2035 Job Detail Report.pdf (Sage Timberline, 04/03/2026)</t>
        </is>
      </c>
    </row>
    <row r="20">
      <c r="B20" s="14" t="inlineStr">
        <is>
          <t>037007</t>
        </is>
      </c>
      <c r="C20" s="14" t="inlineStr">
        <is>
          <t>01/19/18</t>
        </is>
      </c>
      <c r="D20" s="15" t="n">
        <v>-38539</v>
      </c>
      <c r="E20" s="15" t="n">
        <v>-1926.95</v>
      </c>
      <c r="F20" s="14" t="n">
        <v>5</v>
      </c>
      <c r="G20" s="8" t="inlineStr">
        <is>
          <t>2035 Job Detail Report.pdf (Sage Timberline, 04/03/2026)</t>
        </is>
      </c>
    </row>
    <row r="21">
      <c r="B21" s="14" t="inlineStr">
        <is>
          <t>037014</t>
        </is>
      </c>
      <c r="C21" s="14" t="inlineStr">
        <is>
          <t>01/19/18</t>
        </is>
      </c>
      <c r="D21" s="15" t="n">
        <v>38539</v>
      </c>
      <c r="E21" s="15" t="n">
        <v>1926.95</v>
      </c>
      <c r="F21" s="14" t="n">
        <v>5</v>
      </c>
      <c r="G21" s="8" t="inlineStr">
        <is>
          <t>2035 Job Detail Report.pdf (Sage Timberline, 04/03/2026)</t>
        </is>
      </c>
    </row>
    <row r="22">
      <c r="B22" s="14" t="inlineStr">
        <is>
          <t>037015</t>
        </is>
      </c>
      <c r="C22" s="14" t="inlineStr">
        <is>
          <t>01/19/18</t>
        </is>
      </c>
      <c r="D22" s="15" t="n">
        <v>-41115</v>
      </c>
      <c r="E22" s="15" t="n">
        <v>-2055.75</v>
      </c>
      <c r="F22" s="14" t="n">
        <v>7</v>
      </c>
      <c r="G22" s="8" t="inlineStr">
        <is>
          <t>2035 Job Detail Report.pdf (Sage Timberline, 04/03/2026)</t>
        </is>
      </c>
    </row>
    <row r="23">
      <c r="B23" s="14" t="inlineStr">
        <is>
          <t>037059</t>
        </is>
      </c>
      <c r="C23" s="14" t="inlineStr">
        <is>
          <t>04/20/18</t>
        </is>
      </c>
      <c r="D23" s="15" t="n">
        <v>-1380</v>
      </c>
      <c r="E23" s="15" t="n">
        <v>-69</v>
      </c>
      <c r="F23" s="14" t="n">
        <v>1</v>
      </c>
      <c r="G23" s="8" t="inlineStr">
        <is>
          <t>2035 Job Detail Report.pdf (Sage Timberline, 04/03/2026)</t>
        </is>
      </c>
    </row>
    <row r="24">
      <c r="B24" s="18" t="inlineStr">
        <is>
          <t>TOTAL (signed)</t>
        </is>
      </c>
      <c r="D24" s="19">
        <f>SUM(D6:D23)</f>
        <v/>
      </c>
      <c r="E24" s="19">
        <f>SUM(E6:E23)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15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2" customWidth="1" min="3" max="3"/>
    <col width="78" customWidth="1" min="4" max="4"/>
    <col width="12" customWidth="1" min="5" max="5"/>
    <col width="40" customWidth="1" min="6" max="6"/>
  </cols>
  <sheetData>
    <row r="2" ht="28" customHeight="1">
      <c r="B2" s="1" t="inlineStr">
        <is>
          <t>Insights &amp; Observations</t>
        </is>
      </c>
    </row>
    <row r="3">
      <c r="B3" s="2" t="inlineStr">
        <is>
          <t>Narrative findings from JDR</t>
        </is>
      </c>
    </row>
    <row r="5">
      <c r="B5" s="13" t="inlineStr">
        <is>
          <t>#</t>
        </is>
      </c>
      <c r="C5" s="13" t="inlineStr">
        <is>
          <t>Insight</t>
        </is>
      </c>
      <c r="D5" s="13" t="inlineStr">
        <is>
          <t>Detail</t>
        </is>
      </c>
      <c r="E5" s="13" t="inlineStr">
        <is>
          <t>Confidence</t>
        </is>
      </c>
      <c r="F5" s="13" t="inlineStr">
        <is>
          <t>Source</t>
        </is>
      </c>
    </row>
    <row r="6" ht="58" customHeight="1">
      <c r="B6" s="14" t="n">
        <v>1</v>
      </c>
      <c r="C6" s="4" t="inlineStr">
        <is>
          <t>MARGIN PROFILE</t>
        </is>
      </c>
      <c r="D6" s="5" t="inlineStr">
        <is>
          <t>Net profit $358,523.29 on $722,290.00 revenue = 49.6% gross margin.</t>
        </is>
      </c>
      <c r="E6" s="26" t="inlineStr">
        <is>
          <t>Verified</t>
        </is>
      </c>
      <c r="F6" s="8" t="inlineStr">
        <is>
          <t>2035 Job Detail Report.pdf (Sage Timberline, 04/03/2026)</t>
        </is>
      </c>
    </row>
    <row r="7" ht="58" customHeight="1">
      <c r="B7" s="14" t="n">
        <v>2</v>
      </c>
      <c r="C7" s="4" t="inlineStr">
        <is>
          <t>CONTRACT CHANGE</t>
        </is>
      </c>
      <c r="D7" s="5" t="inlineStr">
        <is>
          <t>Original $717,400.00 → final $722,290.00 = $+4,890.00 net (+0.68%).</t>
        </is>
      </c>
      <c r="E7" s="26" t="inlineStr">
        <is>
          <t>Verified</t>
        </is>
      </c>
      <c r="F7" s="8" t="inlineStr">
        <is>
          <t>2035 Job Detail Report.pdf (Sage Timberline, 04/03/2026)</t>
        </is>
      </c>
    </row>
    <row r="8" ht="58" customHeight="1">
      <c r="B8" s="14" t="n">
        <v>3</v>
      </c>
      <c r="C8" s="4" t="inlineStr">
        <is>
          <t>LABOR PROFILE</t>
        </is>
      </c>
      <c r="D8" s="5" t="inlineStr">
        <is>
          <t>Labor cost $133,452.50 (18.5% of rev) across 5,205 hrs and 24 workers. Blended wage $25.64/hr.</t>
        </is>
      </c>
      <c r="E8" s="26" t="inlineStr">
        <is>
          <t>Verified</t>
        </is>
      </c>
      <c r="F8" s="8" t="inlineStr">
        <is>
          <t>2035 Job Detail Report.pdf (Sage Timberline, 04/03/2026)</t>
        </is>
      </c>
    </row>
    <row r="9" ht="58" customHeight="1">
      <c r="B9" s="14" t="n">
        <v>4</v>
      </c>
      <c r="C9" s="4" t="inlineStr">
        <is>
          <t>VENDOR CONCENTRATION</t>
        </is>
      </c>
      <c r="D9" s="5" t="inlineStr">
        <is>
          <t>Top 5 AP vendors: ~$129,629.11 (96% of AP). Top vendor: Consolidated Supply Co. $162Ten ($63,855.41).</t>
        </is>
      </c>
      <c r="E9" s="26" t="inlineStr">
        <is>
          <t>Verified</t>
        </is>
      </c>
      <c r="F9" s="8" t="inlineStr">
        <is>
          <t>2035 Job Detail Report.pdf (Sage Timberline, 04/03/2026)</t>
        </is>
      </c>
    </row>
    <row r="10" ht="58" customHeight="1">
      <c r="B10" s="14" t="n">
        <v>5</v>
      </c>
      <c r="C10" s="4" t="inlineStr">
        <is>
          <t>RETAINAGE</t>
        </is>
      </c>
      <c r="D10" s="5" t="inlineStr">
        <is>
          <t>Retainage $36,114.51 = 5.0% of AR per JDR 04/03/2026 — legacy project, likely 7+ years stale.</t>
        </is>
      </c>
      <c r="E10" s="26" t="inlineStr">
        <is>
          <t>Verified</t>
        </is>
      </c>
      <c r="F10" s="8" t="inlineStr">
        <is>
          <t>2035 Job Detail Report.pdf (Sage Timberline, 04/03/2026)</t>
        </is>
      </c>
    </row>
    <row r="11" ht="58" customHeight="1">
      <c r="B11" s="14" t="n">
        <v>6</v>
      </c>
      <c r="C11" s="4" t="inlineStr">
        <is>
          <t>ROUGH-IN SHARE</t>
        </is>
      </c>
      <c r="D11" s="5" t="inlineStr">
        <is>
          <t>Code 120 Roughin Labor = 2,891 hrs (56% of labor hours).</t>
        </is>
      </c>
      <c r="E11" s="26" t="inlineStr">
        <is>
          <t>Verified</t>
        </is>
      </c>
      <c r="F11" s="8" t="inlineStr">
        <is>
          <t>2035 Job Detail Report.pdf (Sage Timberline, 04/03/2026)</t>
        </is>
      </c>
    </row>
    <row r="12" ht="58" customHeight="1">
      <c r="B12" s="14" t="n">
        <v>7</v>
      </c>
      <c r="C12" s="4" t="inlineStr">
        <is>
          <t>TOP COST CODE</t>
        </is>
      </c>
      <c r="D12" s="5" t="inlineStr">
        <is>
          <t>Largest actual cost: 230 Finish Material = $96,906.50</t>
        </is>
      </c>
      <c r="E12" s="26" t="inlineStr">
        <is>
          <t>Verified</t>
        </is>
      </c>
      <c r="F12" s="8" t="inlineStr">
        <is>
          <t>2035 Job Detail Report.pdf (Sage Timberline, 04/03/2026)</t>
        </is>
      </c>
    </row>
    <row r="13" ht="58" customHeight="1">
      <c r="B13" s="14" t="n">
        <v>8</v>
      </c>
      <c r="C13" s="4" t="inlineStr">
        <is>
          <t>WORKER CONCENTRATION</t>
        </is>
      </c>
      <c r="D13" s="5" t="inlineStr">
        <is>
          <t>Top worker Reed, Reuben H = 1092 hrs (21% of total).</t>
        </is>
      </c>
      <c r="E13" s="26" t="inlineStr">
        <is>
          <t>Verified</t>
        </is>
      </c>
      <c r="F13" s="8" t="inlineStr">
        <is>
          <t>2035 Job Detail Report.pdf (Sage Timberline, 04/03/2026)</t>
        </is>
      </c>
    </row>
    <row r="14" ht="58" customHeight="1">
      <c r="B14" s="14" t="n">
        <v>9</v>
      </c>
      <c r="C14" s="4" t="inlineStr">
        <is>
          <t>INSURANCE</t>
        </is>
      </c>
      <c r="D14" s="5" t="inlineStr">
        <is>
          <t>Not Wrap — OCIP wrap.</t>
        </is>
      </c>
      <c r="E14" s="26" t="inlineStr">
        <is>
          <t>Verified</t>
        </is>
      </c>
      <c r="F14" s="8" t="inlineStr">
        <is>
          <t>OWP Project List with Schedule - UPDATED 04-01-26.xlsx</t>
        </is>
      </c>
    </row>
    <row r="15" ht="58" customHeight="1">
      <c r="B15" s="14" t="n">
        <v>10</v>
      </c>
      <c r="C15" s="4" t="inlineStr">
        <is>
          <t>SCOPE CONTEXT</t>
        </is>
      </c>
      <c r="D15" s="5" t="inlineStr">
        <is>
          <t>162 Ten — 92-unit multifamily plumbing, Redmond WA.</t>
        </is>
      </c>
      <c r="E15" s="26" t="inlineStr">
        <is>
          <t>Verified</t>
        </is>
      </c>
      <c r="F15" s="8" t="inlineStr">
        <is>
          <t>OWP Project List with Schedule - UPDATED 04-01-26.xlsx + JDR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5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24" customWidth="1" min="3" max="3"/>
    <col width="22" customWidth="1" min="4" max="4"/>
    <col width="14" customWidth="1" min="5" max="5"/>
    <col width="38" customWidth="1" min="6" max="6"/>
    <col width="12" customWidth="1" min="7" max="7"/>
    <col width="38" customWidth="1" min="8" max="8"/>
  </cols>
  <sheetData>
    <row r="2" ht="28" customHeight="1">
      <c r="B2" s="1" t="inlineStr">
        <is>
          <t>Benchmark KPIs</t>
        </is>
      </c>
    </row>
    <row r="3">
      <c r="B3" s="2" t="inlineStr">
        <is>
          <t>Normalized metrics for cross-project comparison</t>
        </is>
      </c>
    </row>
    <row r="5">
      <c r="B5" s="13" t="inlineStr">
        <is>
          <t>KPI</t>
        </is>
      </c>
      <c r="C5" s="13" t="inlineStr">
        <is>
          <t>Data Name</t>
        </is>
      </c>
      <c r="D5" s="13" t="inlineStr">
        <is>
          <t>Value</t>
        </is>
      </c>
      <c r="E5" s="13" t="inlineStr">
        <is>
          <t>Category</t>
        </is>
      </c>
      <c r="F5" s="13" t="inlineStr">
        <is>
          <t>Notes</t>
        </is>
      </c>
      <c r="G5" s="13" t="inlineStr">
        <is>
          <t>Confidence</t>
        </is>
      </c>
      <c r="H5" s="13" t="inlineStr">
        <is>
          <t>Source Document</t>
        </is>
      </c>
    </row>
    <row r="6">
      <c r="B6" s="5" t="inlineStr">
        <is>
          <t>Job Number</t>
        </is>
      </c>
      <c r="C6" s="5" t="inlineStr">
        <is>
          <t>job_number</t>
        </is>
      </c>
      <c r="D6" s="14" t="inlineStr">
        <is>
          <t>2035</t>
        </is>
      </c>
      <c r="E6" s="14" t="inlineStr">
        <is>
          <t>Profile</t>
        </is>
      </c>
      <c r="F6" s="5" t="inlineStr">
        <is>
          <t>OWP job ID</t>
        </is>
      </c>
      <c r="G6" s="26" t="inlineStr">
        <is>
          <t>Verified</t>
        </is>
      </c>
      <c r="H6" s="5" t="inlineStr">
        <is>
          <t>2035 Job Detail Report.pdf (Sage Timberline, 04/03/2026)</t>
        </is>
      </c>
    </row>
    <row r="7">
      <c r="B7" s="5" t="inlineStr">
        <is>
          <t>Job Name</t>
        </is>
      </c>
      <c r="C7" s="5" t="inlineStr">
        <is>
          <t>job_name</t>
        </is>
      </c>
      <c r="D7" s="14" t="inlineStr">
        <is>
          <t>162 Ten Apartments</t>
        </is>
      </c>
      <c r="E7" s="14" t="inlineStr">
        <is>
          <t>Profile</t>
        </is>
      </c>
      <c r="F7" s="5" t="inlineStr"/>
      <c r="G7" s="26" t="inlineStr">
        <is>
          <t>Verified</t>
        </is>
      </c>
      <c r="H7" s="5" t="inlineStr">
        <is>
          <t>2035 Job Detail Report.pdf (Sage Timberline, 04/03/2026)</t>
        </is>
      </c>
    </row>
    <row r="8">
      <c r="B8" s="5" t="inlineStr">
        <is>
          <t>General Contractor</t>
        </is>
      </c>
      <c r="C8" s="5" t="inlineStr">
        <is>
          <t>gc</t>
        </is>
      </c>
      <c r="D8" s="14" t="inlineStr">
        <is>
          <t>Natural &amp; Built LLC</t>
        </is>
      </c>
      <c r="E8" s="14" t="inlineStr">
        <is>
          <t>Profile</t>
        </is>
      </c>
      <c r="F8" s="5" t="inlineStr"/>
      <c r="G8" s="26" t="inlineStr">
        <is>
          <t>Verified</t>
        </is>
      </c>
      <c r="H8" s="5" t="inlineStr">
        <is>
          <t>OWP Project List with Schedule - UPDATED 04-01-26.xlsx</t>
        </is>
      </c>
    </row>
    <row r="9">
      <c r="B9" s="5" t="inlineStr">
        <is>
          <t>Owner</t>
        </is>
      </c>
      <c r="C9" s="5" t="inlineStr">
        <is>
          <t>owner</t>
        </is>
      </c>
      <c r="D9" s="14" t="inlineStr">
        <is>
          <t>162 Ten Apartments LLC (Natural &amp; Built)</t>
        </is>
      </c>
      <c r="E9" s="14" t="inlineStr">
        <is>
          <t>Profile</t>
        </is>
      </c>
      <c r="F9" s="5" t="inlineStr"/>
      <c r="G9" s="26" t="inlineStr">
        <is>
          <t>Verified</t>
        </is>
      </c>
      <c r="H9" s="5" t="inlineStr">
        <is>
          <t>OWP Project List with Schedule - UPDATED 04-01-26.xlsx</t>
        </is>
      </c>
    </row>
    <row r="10">
      <c r="B10" s="5" t="inlineStr">
        <is>
          <t>Location</t>
        </is>
      </c>
      <c r="C10" s="5" t="inlineStr">
        <is>
          <t>location</t>
        </is>
      </c>
      <c r="D10" s="14" t="inlineStr">
        <is>
          <t>16210 NE 80th St, Redmond, WA 98052</t>
        </is>
      </c>
      <c r="E10" s="14" t="inlineStr">
        <is>
          <t>Profile</t>
        </is>
      </c>
      <c r="F10" s="5" t="inlineStr"/>
      <c r="G10" s="26" t="inlineStr">
        <is>
          <t>Verified</t>
        </is>
      </c>
      <c r="H10" s="5" t="inlineStr">
        <is>
          <t>OWP Project List with Schedule - UPDATED 04-01-26.xlsx</t>
        </is>
      </c>
    </row>
    <row r="11">
      <c r="B11" s="5" t="inlineStr">
        <is>
          <t>Project Type</t>
        </is>
      </c>
      <c r="C11" s="5" t="inlineStr">
        <is>
          <t>project_type</t>
        </is>
      </c>
      <c r="D11" s="14" t="inlineStr">
        <is>
          <t>Multifamily New Construction (92 units)</t>
        </is>
      </c>
      <c r="E11" s="14" t="inlineStr">
        <is>
          <t>Profile</t>
        </is>
      </c>
      <c r="F11" s="5" t="inlineStr"/>
      <c r="G11" s="26" t="inlineStr">
        <is>
          <t>Verified</t>
        </is>
      </c>
      <c r="H11" s="5" t="inlineStr">
        <is>
          <t>OWP Project List with Schedule - UPDATED 04-01-26.xlsx</t>
        </is>
      </c>
    </row>
    <row r="12">
      <c r="B12" s="5" t="inlineStr">
        <is>
          <t>Insurance Type</t>
        </is>
      </c>
      <c r="C12" s="5" t="inlineStr">
        <is>
          <t>insurance</t>
        </is>
      </c>
      <c r="D12" s="14" t="inlineStr">
        <is>
          <t>Not Wrap</t>
        </is>
      </c>
      <c r="E12" s="14" t="inlineStr">
        <is>
          <t>Profile</t>
        </is>
      </c>
      <c r="F12" s="5" t="inlineStr"/>
      <c r="G12" s="26" t="inlineStr">
        <is>
          <t>Verified</t>
        </is>
      </c>
      <c r="H12" s="5" t="inlineStr">
        <is>
          <t>OWP Project List with Schedule - UPDATED 04-01-26.xlsx</t>
        </is>
      </c>
    </row>
    <row r="13">
      <c r="B13" s="5" t="inlineStr">
        <is>
          <t>GC PM</t>
        </is>
      </c>
      <c r="C13" s="5" t="inlineStr">
        <is>
          <t>gc_pm</t>
        </is>
      </c>
      <c r="D13" s="14" t="inlineStr">
        <is>
          <t>Tyson Cornett</t>
        </is>
      </c>
      <c r="E13" s="14" t="inlineStr">
        <is>
          <t>Profile</t>
        </is>
      </c>
      <c r="F13" s="5" t="inlineStr"/>
      <c r="G13" s="26" t="inlineStr">
        <is>
          <t>Verified</t>
        </is>
      </c>
      <c r="H13" s="5" t="inlineStr">
        <is>
          <t>OWP Project List with Schedule - UPDATED 04-01-26.xlsx</t>
        </is>
      </c>
    </row>
    <row r="14">
      <c r="B14" s="5" t="inlineStr">
        <is>
          <t>GC Sup</t>
        </is>
      </c>
      <c r="C14" s="5" t="inlineStr">
        <is>
          <t>gc_sup</t>
        </is>
      </c>
      <c r="D14" s="14" t="inlineStr">
        <is>
          <t>Tyson Cornett</t>
        </is>
      </c>
      <c r="E14" s="14" t="inlineStr">
        <is>
          <t>Profile</t>
        </is>
      </c>
      <c r="F14" s="5" t="inlineStr"/>
      <c r="G14" s="26" t="inlineStr">
        <is>
          <t>Verified</t>
        </is>
      </c>
      <c r="H14" s="5" t="inlineStr">
        <is>
          <t>OWP Project List with Schedule - UPDATED 04-01-26.xlsx</t>
        </is>
      </c>
    </row>
    <row r="15">
      <c r="B15" s="5" t="inlineStr">
        <is>
          <t>GC PE</t>
        </is>
      </c>
      <c r="C15" s="5" t="inlineStr">
        <is>
          <t>gc_pe</t>
        </is>
      </c>
      <c r="D15" s="14" t="inlineStr">
        <is>
          <t>TBD</t>
        </is>
      </c>
      <c r="E15" s="14" t="inlineStr">
        <is>
          <t>Profile</t>
        </is>
      </c>
      <c r="F15" s="5" t="inlineStr"/>
      <c r="G15" s="26" t="inlineStr">
        <is>
          <t>Verified</t>
        </is>
      </c>
      <c r="H15" s="5" t="inlineStr">
        <is>
          <t>OWP Project List with Schedule - UPDATED 04-01-26.xlsx</t>
        </is>
      </c>
    </row>
    <row r="16">
      <c r="B16" s="5" t="inlineStr">
        <is>
          <t>Developer</t>
        </is>
      </c>
      <c r="C16" s="5" t="inlineStr">
        <is>
          <t>developer</t>
        </is>
      </c>
      <c r="D16" s="14" t="inlineStr">
        <is>
          <t>Natural &amp; Built</t>
        </is>
      </c>
      <c r="E16" s="14" t="inlineStr">
        <is>
          <t>Profile</t>
        </is>
      </c>
      <c r="F16" s="5" t="inlineStr"/>
      <c r="G16" s="26" t="inlineStr">
        <is>
          <t>Verified</t>
        </is>
      </c>
      <c r="H16" s="5" t="inlineStr">
        <is>
          <t>OWP Project List with Schedule - UPDATED 04-01-26.xlsx</t>
        </is>
      </c>
    </row>
    <row r="17">
      <c r="B17" s="5" t="inlineStr">
        <is>
          <t>OWP RI Foreman</t>
        </is>
      </c>
      <c r="C17" s="5" t="inlineStr">
        <is>
          <t>owp_foreman</t>
        </is>
      </c>
      <c r="D17" s="14" t="inlineStr">
        <is>
          <t>Reuben</t>
        </is>
      </c>
      <c r="E17" s="14" t="inlineStr">
        <is>
          <t>Profile</t>
        </is>
      </c>
      <c r="F17" s="5" t="inlineStr"/>
      <c r="G17" s="26" t="inlineStr">
        <is>
          <t>Verified</t>
        </is>
      </c>
      <c r="H17" s="5" t="inlineStr">
        <is>
          <t>Schedule</t>
        </is>
      </c>
    </row>
    <row r="18">
      <c r="B18" s="5" t="inlineStr">
        <is>
          <t>Work Start</t>
        </is>
      </c>
      <c r="C18" s="5" t="inlineStr">
        <is>
          <t>start_date</t>
        </is>
      </c>
      <c r="D18" s="14" t="inlineStr">
        <is>
          <t>2016-08-16</t>
        </is>
      </c>
      <c r="E18" s="14" t="inlineStr">
        <is>
          <t>Profile</t>
        </is>
      </c>
      <c r="F18" s="5" t="inlineStr"/>
      <c r="G18" s="26" t="inlineStr">
        <is>
          <t>Verified</t>
        </is>
      </c>
      <c r="H18" s="5" t="inlineStr">
        <is>
          <t>2035 Job Detail Report.pdf (Sage Timberline, 04/03/2026)</t>
        </is>
      </c>
    </row>
    <row r="19">
      <c r="B19" s="5" t="inlineStr">
        <is>
          <t>Work End</t>
        </is>
      </c>
      <c r="C19" s="5" t="inlineStr">
        <is>
          <t>end_date</t>
        </is>
      </c>
      <c r="D19" s="14" t="inlineStr">
        <is>
          <t>2018</t>
        </is>
      </c>
      <c r="E19" s="14" t="inlineStr">
        <is>
          <t>Profile</t>
        </is>
      </c>
      <c r="F19" s="5" t="inlineStr"/>
      <c r="G19" s="26" t="inlineStr">
        <is>
          <t>Verified</t>
        </is>
      </c>
      <c r="H19" s="5" t="inlineStr">
        <is>
          <t>2035 Job Detail Report.pdf (Sage Timberline, 04/03/2026)</t>
        </is>
      </c>
    </row>
    <row r="20">
      <c r="B20" s="5" t="inlineStr">
        <is>
          <t>Duration (months)</t>
        </is>
      </c>
      <c r="C20" s="5" t="inlineStr">
        <is>
          <t>duration_months</t>
        </is>
      </c>
      <c r="D20" s="27" t="n">
        <v>24</v>
      </c>
      <c r="E20" s="14" t="inlineStr">
        <is>
          <t>Profile</t>
        </is>
      </c>
      <c r="F20" s="5" t="inlineStr"/>
      <c r="G20" s="26" t="inlineStr">
        <is>
          <t>Verified</t>
        </is>
      </c>
      <c r="H20" s="5" t="inlineStr">
        <is>
          <t>Derived</t>
        </is>
      </c>
    </row>
    <row r="21">
      <c r="B21" s="5" t="inlineStr">
        <is>
          <t>Unit Count</t>
        </is>
      </c>
      <c r="C21" s="5" t="inlineStr">
        <is>
          <t>unit_count</t>
        </is>
      </c>
      <c r="D21" s="27" t="n">
        <v>92</v>
      </c>
      <c r="E21" s="14" t="inlineStr">
        <is>
          <t>Profile</t>
        </is>
      </c>
      <c r="F21" s="5" t="inlineStr"/>
      <c r="G21" s="26" t="inlineStr">
        <is>
          <t>Verified</t>
        </is>
      </c>
      <c r="H21" s="5" t="inlineStr">
        <is>
          <t>OWP Project List with Schedule - UPDATED 04-01-26.xlsx</t>
        </is>
      </c>
    </row>
    <row r="22">
      <c r="B22" s="5" t="inlineStr">
        <is>
          <t>Contract Original</t>
        </is>
      </c>
      <c r="C22" s="5" t="inlineStr">
        <is>
          <t>contract_original</t>
        </is>
      </c>
      <c r="D22" s="28" t="n">
        <v>717400</v>
      </c>
      <c r="E22" s="14" t="inlineStr">
        <is>
          <t>Financial</t>
        </is>
      </c>
      <c r="F22" s="5" t="inlineStr"/>
      <c r="G22" s="26" t="inlineStr">
        <is>
          <t>Verified</t>
        </is>
      </c>
      <c r="H22" s="5" t="inlineStr">
        <is>
          <t>OWP Project List with Schedule - UPDATED 04-01-26.xlsx</t>
        </is>
      </c>
    </row>
    <row r="23">
      <c r="B23" s="5" t="inlineStr">
        <is>
          <t>Contract Final</t>
        </is>
      </c>
      <c r="C23" s="5" t="inlineStr">
        <is>
          <t>contract_final</t>
        </is>
      </c>
      <c r="D23" s="28" t="n">
        <v>722290</v>
      </c>
      <c r="E23" s="14" t="inlineStr">
        <is>
          <t>Financial</t>
        </is>
      </c>
      <c r="F23" s="5" t="inlineStr"/>
      <c r="G23" s="26" t="inlineStr">
        <is>
          <t>Verified</t>
        </is>
      </c>
      <c r="H23" s="5" t="inlineStr">
        <is>
          <t>OWP Project List with Schedule - UPDATED 04-01-26.xlsx</t>
        </is>
      </c>
    </row>
    <row r="24">
      <c r="B24" s="5" t="inlineStr">
        <is>
          <t>Change Orders ($, implied)</t>
        </is>
      </c>
      <c r="C24" s="5" t="inlineStr">
        <is>
          <t>co_implied</t>
        </is>
      </c>
      <c r="D24" s="28" t="n">
        <v>4890</v>
      </c>
      <c r="E24" s="14" t="inlineStr">
        <is>
          <t>Financial</t>
        </is>
      </c>
      <c r="F24" s="5" t="inlineStr">
        <is>
          <t>Final - Original</t>
        </is>
      </c>
      <c r="G24" s="26" t="inlineStr">
        <is>
          <t>Verified</t>
        </is>
      </c>
      <c r="H24" s="5" t="inlineStr">
        <is>
          <t>2035 Job Detail Report.pdf (Sage Timberline, 04/03/2026)</t>
        </is>
      </c>
    </row>
    <row r="25">
      <c r="B25" s="5" t="inlineStr">
        <is>
          <t>CO % of Contract</t>
        </is>
      </c>
      <c r="C25" s="5" t="inlineStr">
        <is>
          <t>co_pct</t>
        </is>
      </c>
      <c r="D25" s="29" t="n">
        <v>0.006816281014775579</v>
      </c>
      <c r="E25" s="14" t="inlineStr">
        <is>
          <t>Financial</t>
        </is>
      </c>
      <c r="F25" s="5" t="inlineStr"/>
      <c r="G25" s="26" t="inlineStr">
        <is>
          <t>Verified</t>
        </is>
      </c>
      <c r="H25" s="5" t="inlineStr">
        <is>
          <t>Derived</t>
        </is>
      </c>
    </row>
    <row r="26">
      <c r="B26" s="5" t="inlineStr">
        <is>
          <t>Revenue</t>
        </is>
      </c>
      <c r="C26" s="5" t="inlineStr">
        <is>
          <t>revenue</t>
        </is>
      </c>
      <c r="D26" s="28" t="n">
        <v>722290</v>
      </c>
      <c r="E26" s="14" t="inlineStr">
        <is>
          <t>Financial</t>
        </is>
      </c>
      <c r="F26" s="5" t="inlineStr">
        <is>
          <t>AR total</t>
        </is>
      </c>
      <c r="G26" s="26" t="inlineStr">
        <is>
          <t>Verified</t>
        </is>
      </c>
      <c r="H26" s="5" t="inlineStr">
        <is>
          <t>2035 Job Detail Report.pdf (Sage Timberline, 04/03/2026)</t>
        </is>
      </c>
    </row>
    <row r="27">
      <c r="B27" s="5" t="inlineStr">
        <is>
          <t>Direct Cost</t>
        </is>
      </c>
      <c r="C27" s="5" t="inlineStr">
        <is>
          <t>direct_cost</t>
        </is>
      </c>
      <c r="D27" s="28" t="n">
        <v>363766.71</v>
      </c>
      <c r="E27" s="14" t="inlineStr">
        <is>
          <t>Financial</t>
        </is>
      </c>
      <c r="F27" s="5" t="inlineStr">
        <is>
          <t>JDR Expenses</t>
        </is>
      </c>
      <c r="G27" s="26" t="inlineStr">
        <is>
          <t>Verified</t>
        </is>
      </c>
      <c r="H27" s="5" t="inlineStr">
        <is>
          <t>2035 Job Detail Report.pdf (Sage Timberline, 04/03/2026)</t>
        </is>
      </c>
    </row>
    <row r="28">
      <c r="B28" s="5" t="inlineStr">
        <is>
          <t>Net Profit</t>
        </is>
      </c>
      <c r="C28" s="5" t="inlineStr">
        <is>
          <t>net_profit</t>
        </is>
      </c>
      <c r="D28" s="28" t="n">
        <v>358523.29</v>
      </c>
      <c r="E28" s="14" t="inlineStr">
        <is>
          <t>Financial</t>
        </is>
      </c>
      <c r="F28" s="5" t="inlineStr">
        <is>
          <t>Rev - Exp</t>
        </is>
      </c>
      <c r="G28" s="26" t="inlineStr">
        <is>
          <t>Verified</t>
        </is>
      </c>
      <c r="H28" s="5" t="inlineStr">
        <is>
          <t>2035 Job Detail Report.pdf (Sage Timberline, 04/03/2026)</t>
        </is>
      </c>
    </row>
    <row r="29">
      <c r="B29" s="5" t="inlineStr">
        <is>
          <t>Gross Margin</t>
        </is>
      </c>
      <c r="C29" s="5" t="inlineStr">
        <is>
          <t>gross_margin</t>
        </is>
      </c>
      <c r="D29" s="29" t="n">
        <v>0.4963702806352019</v>
      </c>
      <c r="E29" s="14" t="inlineStr">
        <is>
          <t>Financial</t>
        </is>
      </c>
      <c r="F29" s="5" t="inlineStr"/>
      <c r="G29" s="26" t="inlineStr">
        <is>
          <t>Verified</t>
        </is>
      </c>
      <c r="H29" s="5" t="inlineStr">
        <is>
          <t>Derived</t>
        </is>
      </c>
    </row>
    <row r="30">
      <c r="B30" s="5" t="inlineStr">
        <is>
          <t>Retainage</t>
        </is>
      </c>
      <c r="C30" s="5" t="inlineStr">
        <is>
          <t>retainage</t>
        </is>
      </c>
      <c r="D30" s="28" t="n">
        <v>36114.51</v>
      </c>
      <c r="E30" s="14" t="inlineStr">
        <is>
          <t>Financial</t>
        </is>
      </c>
      <c r="F30" s="5" t="inlineStr">
        <is>
          <t>JDR AR retainage</t>
        </is>
      </c>
      <c r="G30" s="26" t="inlineStr">
        <is>
          <t>Verified</t>
        </is>
      </c>
      <c r="H30" s="5" t="inlineStr">
        <is>
          <t>2035 Job Detail Report.pdf (Sage Timberline, 04/03/2026)</t>
        </is>
      </c>
    </row>
    <row r="31">
      <c r="B31" s="5" t="inlineStr">
        <is>
          <t>Retainage % of Revenue</t>
        </is>
      </c>
      <c r="C31" s="5" t="inlineStr">
        <is>
          <t>retainage_pct</t>
        </is>
      </c>
      <c r="D31" s="29" t="n">
        <v>0.05000001384485456</v>
      </c>
      <c r="E31" s="14" t="inlineStr">
        <is>
          <t>Financial</t>
        </is>
      </c>
      <c r="F31" s="5" t="inlineStr"/>
      <c r="G31" s="26" t="inlineStr">
        <is>
          <t>Verified</t>
        </is>
      </c>
      <c r="H31" s="5" t="inlineStr">
        <is>
          <t>Derived</t>
        </is>
      </c>
    </row>
    <row r="32">
      <c r="B32" s="5" t="inlineStr">
        <is>
          <t>Labor Cost</t>
        </is>
      </c>
      <c r="C32" s="5" t="inlineStr">
        <is>
          <t>labor_cost</t>
        </is>
      </c>
      <c r="D32" s="28" t="n">
        <v>133452.5</v>
      </c>
      <c r="E32" s="14" t="inlineStr">
        <is>
          <t>Labor</t>
        </is>
      </c>
      <c r="F32" s="5" t="inlineStr">
        <is>
          <t>Codes 100-151</t>
        </is>
      </c>
      <c r="G32" s="26" t="inlineStr">
        <is>
          <t>Verified</t>
        </is>
      </c>
      <c r="H32" s="5" t="inlineStr">
        <is>
          <t>2035 Job Detail Report.pdf (Sage Timberline, 04/03/2026)</t>
        </is>
      </c>
    </row>
    <row r="33">
      <c r="B33" s="5" t="inlineStr">
        <is>
          <t>Material Cost</t>
        </is>
      </c>
      <c r="C33" s="5" t="inlineStr">
        <is>
          <t>material_cost</t>
        </is>
      </c>
      <c r="D33" s="28" t="n">
        <v>159409.61</v>
      </c>
      <c r="E33" s="14" t="inlineStr">
        <is>
          <t>Material</t>
        </is>
      </c>
      <c r="F33" s="5" t="inlineStr">
        <is>
          <t>Codes 210-245</t>
        </is>
      </c>
      <c r="G33" s="26" t="inlineStr">
        <is>
          <t>Verified</t>
        </is>
      </c>
      <c r="H33" s="5" t="inlineStr">
        <is>
          <t>2035 Job Detail Report.pdf (Sage Timberline, 04/03/2026)</t>
        </is>
      </c>
    </row>
    <row r="34">
      <c r="B34" s="5" t="inlineStr">
        <is>
          <t>Overhead Cost</t>
        </is>
      </c>
      <c r="C34" s="5" t="inlineStr">
        <is>
          <t>overhead_cost</t>
        </is>
      </c>
      <c r="D34" s="28" t="n">
        <v>1509</v>
      </c>
      <c r="E34" s="14" t="inlineStr">
        <is>
          <t>Financial</t>
        </is>
      </c>
      <c r="F34" s="5" t="inlineStr">
        <is>
          <t>Codes 600-607</t>
        </is>
      </c>
      <c r="G34" s="26" t="inlineStr">
        <is>
          <t>Verified</t>
        </is>
      </c>
      <c r="H34" s="5" t="inlineStr">
        <is>
          <t>2035 Job Detail Report.pdf (Sage Timberline, 04/03/2026)</t>
        </is>
      </c>
    </row>
    <row r="35">
      <c r="B35" s="5" t="inlineStr">
        <is>
          <t>Burden Cost</t>
        </is>
      </c>
      <c r="C35" s="5" t="inlineStr">
        <is>
          <t>burden_cost</t>
        </is>
      </c>
      <c r="D35" s="28" t="n">
        <v>59186.15</v>
      </c>
      <c r="E35" s="14" t="inlineStr">
        <is>
          <t>Labor</t>
        </is>
      </c>
      <c r="F35" s="5" t="inlineStr">
        <is>
          <t>Code 995</t>
        </is>
      </c>
      <c r="G35" s="26" t="inlineStr">
        <is>
          <t>Verified</t>
        </is>
      </c>
      <c r="H35" s="5" t="inlineStr">
        <is>
          <t>2035 Job Detail Report.pdf (Sage Timberline, 04/03/2026)</t>
        </is>
      </c>
    </row>
    <row r="36">
      <c r="B36" s="5" t="inlineStr">
        <is>
          <t>Tax Cost</t>
        </is>
      </c>
      <c r="C36" s="5" t="inlineStr">
        <is>
          <t>tax_cost</t>
        </is>
      </c>
      <c r="D36" s="28" t="n">
        <v>10209.45</v>
      </c>
      <c r="E36" s="14" t="inlineStr">
        <is>
          <t>Labor</t>
        </is>
      </c>
      <c r="F36" s="5" t="inlineStr">
        <is>
          <t>Code 998</t>
        </is>
      </c>
      <c r="G36" s="26" t="inlineStr">
        <is>
          <t>Verified</t>
        </is>
      </c>
      <c r="H36" s="5" t="inlineStr">
        <is>
          <t>2035 Job Detail Report.pdf (Sage Timberline, 04/03/2026)</t>
        </is>
      </c>
    </row>
    <row r="37">
      <c r="B37" s="5" t="inlineStr">
        <is>
          <t>Total Labor Hours</t>
        </is>
      </c>
      <c r="C37" s="5" t="inlineStr">
        <is>
          <t>total_hours</t>
        </is>
      </c>
      <c r="D37" s="30" t="n">
        <v>5204.75</v>
      </c>
      <c r="E37" s="14" t="inlineStr">
        <is>
          <t>Labor</t>
        </is>
      </c>
      <c r="F37" s="5" t="inlineStr">
        <is>
          <t>Sum labor codes</t>
        </is>
      </c>
      <c r="G37" s="26" t="inlineStr">
        <is>
          <t>Verified</t>
        </is>
      </c>
      <c r="H37" s="5" t="inlineStr">
        <is>
          <t>2035 Job Detail Report.pdf (Sage Timberline, 04/03/2026)</t>
        </is>
      </c>
    </row>
    <row r="38">
      <c r="B38" s="5" t="inlineStr">
        <is>
          <t>Total Workers</t>
        </is>
      </c>
      <c r="C38" s="5" t="inlineStr">
        <is>
          <t>total_workers</t>
        </is>
      </c>
      <c r="D38" s="27" t="n">
        <v>24</v>
      </c>
      <c r="E38" s="14" t="inlineStr">
        <is>
          <t>Labor</t>
        </is>
      </c>
      <c r="F38" s="5" t="inlineStr">
        <is>
          <t>Unique PR IDs</t>
        </is>
      </c>
      <c r="G38" s="26" t="inlineStr">
        <is>
          <t>Verified</t>
        </is>
      </c>
      <c r="H38" s="5" t="inlineStr">
        <is>
          <t>2035 Job Detail Report.pdf (Sage Timberline, 04/03/2026)</t>
        </is>
      </c>
    </row>
    <row r="39">
      <c r="B39" s="5" t="inlineStr">
        <is>
          <t>Blended Gross Wage</t>
        </is>
      </c>
      <c r="C39" s="5" t="inlineStr">
        <is>
          <t>blended_wage</t>
        </is>
      </c>
      <c r="D39" s="28" t="n">
        <v>25.64052067822662</v>
      </c>
      <c r="E39" s="14" t="inlineStr">
        <is>
          <t>Labor</t>
        </is>
      </c>
      <c r="F39" s="5" t="inlineStr"/>
      <c r="G39" s="26" t="inlineStr">
        <is>
          <t>Verified</t>
        </is>
      </c>
      <c r="H39" s="5" t="inlineStr">
        <is>
          <t>Derived</t>
        </is>
      </c>
    </row>
    <row r="40">
      <c r="B40" s="5" t="inlineStr">
        <is>
          <t>Fully-Loaded Wage</t>
        </is>
      </c>
      <c r="C40" s="5" t="inlineStr">
        <is>
          <t>loaded_wage</t>
        </is>
      </c>
      <c r="D40" s="28" t="n">
        <v>38.97364907056055</v>
      </c>
      <c r="E40" s="14" t="inlineStr">
        <is>
          <t>Labor</t>
        </is>
      </c>
      <c r="F40" s="5" t="inlineStr"/>
      <c r="G40" s="26" t="inlineStr">
        <is>
          <t>Verified</t>
        </is>
      </c>
      <c r="H40" s="5" t="inlineStr">
        <is>
          <t>Derived</t>
        </is>
      </c>
    </row>
    <row r="41">
      <c r="B41" s="5" t="inlineStr">
        <is>
          <t>Burden Multiplier</t>
        </is>
      </c>
      <c r="C41" s="5" t="inlineStr">
        <is>
          <t>burden_mult</t>
        </is>
      </c>
      <c r="D41" s="31" t="n">
        <v>1.520002247990858</v>
      </c>
      <c r="E41" s="14" t="inlineStr">
        <is>
          <t>Labor</t>
        </is>
      </c>
      <c r="F41" s="5" t="inlineStr"/>
      <c r="G41" s="26" t="inlineStr">
        <is>
          <t>Verified</t>
        </is>
      </c>
      <c r="H41" s="5" t="inlineStr">
        <is>
          <t>Derived</t>
        </is>
      </c>
    </row>
    <row r="42">
      <c r="B42" s="5" t="inlineStr">
        <is>
          <t>Rough-in Hours</t>
        </is>
      </c>
      <c r="C42" s="5" t="inlineStr">
        <is>
          <t>roughin_hours</t>
        </is>
      </c>
      <c r="D42" s="30" t="n">
        <v>2891</v>
      </c>
      <c r="E42" s="14" t="inlineStr">
        <is>
          <t>Labor</t>
        </is>
      </c>
      <c r="F42" s="5" t="inlineStr">
        <is>
          <t>Code 120</t>
        </is>
      </c>
      <c r="G42" s="26" t="inlineStr">
        <is>
          <t>Verified</t>
        </is>
      </c>
      <c r="H42" s="5" t="inlineStr">
        <is>
          <t>2035 Job Detail Report.pdf (Sage Timberline, 04/03/2026)</t>
        </is>
      </c>
    </row>
    <row r="43">
      <c r="B43" s="5" t="inlineStr">
        <is>
          <t>Finish Hours</t>
        </is>
      </c>
      <c r="C43" s="5" t="inlineStr">
        <is>
          <t>finish_hours</t>
        </is>
      </c>
      <c r="D43" s="30" t="n">
        <v>590</v>
      </c>
      <c r="E43" s="14" t="inlineStr">
        <is>
          <t>Labor</t>
        </is>
      </c>
      <c r="F43" s="5" t="inlineStr">
        <is>
          <t>Code 130</t>
        </is>
      </c>
      <c r="G43" s="26" t="inlineStr">
        <is>
          <t>Verified</t>
        </is>
      </c>
      <c r="H43" s="5" t="inlineStr">
        <is>
          <t>2035 Job Detail Report.pdf (Sage Timberline, 04/03/2026)</t>
        </is>
      </c>
    </row>
    <row r="44">
      <c r="B44" s="5" t="inlineStr">
        <is>
          <t>Revenue per Hour</t>
        </is>
      </c>
      <c r="C44" s="5" t="inlineStr">
        <is>
          <t>rev_per_hour</t>
        </is>
      </c>
      <c r="D44" s="28" t="n">
        <v>138.7751573082281</v>
      </c>
      <c r="E44" s="14" t="inlineStr">
        <is>
          <t>Productivity</t>
        </is>
      </c>
      <c r="F44" s="5" t="inlineStr"/>
      <c r="G44" s="26" t="inlineStr">
        <is>
          <t>Verified</t>
        </is>
      </c>
      <c r="H44" s="5" t="inlineStr">
        <is>
          <t>Derived</t>
        </is>
      </c>
    </row>
    <row r="45">
      <c r="B45" s="5" t="inlineStr">
        <is>
          <t>Profit per Hour</t>
        </is>
      </c>
      <c r="C45" s="5" t="inlineStr">
        <is>
          <t>profit_per_hour</t>
        </is>
      </c>
      <c r="D45" s="28" t="n">
        <v>68.88386377827945</v>
      </c>
      <c r="E45" s="14" t="inlineStr">
        <is>
          <t>Productivity</t>
        </is>
      </c>
      <c r="F45" s="5" t="inlineStr"/>
      <c r="G45" s="26" t="inlineStr">
        <is>
          <t>Verified</t>
        </is>
      </c>
      <c r="H45" s="5" t="inlineStr">
        <is>
          <t>Derived</t>
        </is>
      </c>
    </row>
    <row r="46">
      <c r="B46" s="5" t="inlineStr">
        <is>
          <t>Revenue per Unit</t>
        </is>
      </c>
      <c r="C46" s="5" t="inlineStr">
        <is>
          <t>rev_per_unit</t>
        </is>
      </c>
      <c r="D46" s="28" t="n">
        <v>7850.978260869565</v>
      </c>
      <c r="E46" s="14" t="inlineStr">
        <is>
          <t>Productivity</t>
        </is>
      </c>
      <c r="F46" s="5" t="inlineStr"/>
      <c r="G46" s="26" t="inlineStr">
        <is>
          <t>Verified</t>
        </is>
      </c>
      <c r="H46" s="5" t="inlineStr">
        <is>
          <t>Derived</t>
        </is>
      </c>
    </row>
    <row r="47">
      <c r="B47" s="5" t="inlineStr">
        <is>
          <t>Direct Cost per Unit</t>
        </is>
      </c>
      <c r="C47" s="5" t="inlineStr">
        <is>
          <t>cost_per_unit</t>
        </is>
      </c>
      <c r="D47" s="28" t="n">
        <v>3953.98597826087</v>
      </c>
      <c r="E47" s="14" t="inlineStr">
        <is>
          <t>Productivity</t>
        </is>
      </c>
      <c r="F47" s="5" t="inlineStr"/>
      <c r="G47" s="26" t="inlineStr">
        <is>
          <t>Verified</t>
        </is>
      </c>
      <c r="H47" s="5" t="inlineStr">
        <is>
          <t>Derived</t>
        </is>
      </c>
    </row>
    <row r="48">
      <c r="B48" s="5" t="inlineStr">
        <is>
          <t>Hours per Unit</t>
        </is>
      </c>
      <c r="C48" s="5" t="inlineStr">
        <is>
          <t>hours_per_unit</t>
        </is>
      </c>
      <c r="D48" s="30" t="n">
        <v>56.57336956521739</v>
      </c>
      <c r="E48" s="14" t="inlineStr">
        <is>
          <t>Productivity</t>
        </is>
      </c>
      <c r="F48" s="5" t="inlineStr"/>
      <c r="G48" s="26" t="inlineStr">
        <is>
          <t>Verified</t>
        </is>
      </c>
      <c r="H48" s="5" t="inlineStr">
        <is>
          <t>Derived</t>
        </is>
      </c>
    </row>
    <row r="49">
      <c r="B49" s="5" t="inlineStr">
        <is>
          <t>Labor % of Revenue</t>
        </is>
      </c>
      <c r="C49" s="5" t="inlineStr">
        <is>
          <t>labor_pct</t>
        </is>
      </c>
      <c r="D49" s="29" t="n">
        <v>0.184763045314209</v>
      </c>
      <c r="E49" s="14" t="inlineStr">
        <is>
          <t>Cost Mix</t>
        </is>
      </c>
      <c r="F49" s="5" t="inlineStr"/>
      <c r="G49" s="26" t="inlineStr">
        <is>
          <t>Verified</t>
        </is>
      </c>
      <c r="H49" s="5" t="inlineStr">
        <is>
          <t>Derived</t>
        </is>
      </c>
    </row>
    <row r="50">
      <c r="B50" s="5" t="inlineStr">
        <is>
          <t>Material % of Revenue</t>
        </is>
      </c>
      <c r="C50" s="5" t="inlineStr">
        <is>
          <t>material_pct</t>
        </is>
      </c>
      <c r="D50" s="29" t="n">
        <v>0.2207002865884893</v>
      </c>
      <c r="E50" s="14" t="inlineStr">
        <is>
          <t>Cost Mix</t>
        </is>
      </c>
      <c r="F50" s="5" t="inlineStr"/>
      <c r="G50" s="26" t="inlineStr">
        <is>
          <t>Verified</t>
        </is>
      </c>
      <c r="H50" s="5" t="inlineStr">
        <is>
          <t>Derived</t>
        </is>
      </c>
    </row>
    <row r="51">
      <c r="B51" s="5" t="inlineStr">
        <is>
          <t>Total Vendors</t>
        </is>
      </c>
      <c r="C51" s="5" t="inlineStr">
        <is>
          <t>total_vendors</t>
        </is>
      </c>
      <c r="D51" s="27" t="n">
        <v>16</v>
      </c>
      <c r="E51" s="14" t="inlineStr">
        <is>
          <t>Material</t>
        </is>
      </c>
      <c r="F51" s="5" t="inlineStr"/>
      <c r="G51" s="26" t="inlineStr">
        <is>
          <t>Verified</t>
        </is>
      </c>
      <c r="H51" s="5" t="inlineStr">
        <is>
          <t>2035 Job Detail Report.pdf (Sage Timberline, 04/03/2026)</t>
        </is>
      </c>
    </row>
    <row r="52">
      <c r="B52" s="5" t="inlineStr">
        <is>
          <t>Total Invoices</t>
        </is>
      </c>
      <c r="C52" s="5" t="inlineStr">
        <is>
          <t>total_invoices</t>
        </is>
      </c>
      <c r="D52" s="27" t="n">
        <v>18</v>
      </c>
      <c r="E52" s="14" t="inlineStr">
        <is>
          <t>Billing</t>
        </is>
      </c>
      <c r="F52" s="5" t="inlineStr"/>
      <c r="G52" s="26" t="inlineStr">
        <is>
          <t>Verified</t>
        </is>
      </c>
      <c r="H52" s="5" t="inlineStr">
        <is>
          <t>2035 Job Detail Report.pdf (Sage Timberline, 04/03/2026)</t>
        </is>
      </c>
    </row>
    <row r="53">
      <c r="B53" s="5" t="inlineStr">
        <is>
          <t>Cost Codes Active</t>
        </is>
      </c>
      <c r="C53" s="5" t="inlineStr">
        <is>
          <t>cost_codes</t>
        </is>
      </c>
      <c r="D53" s="27" t="n">
        <v>22</v>
      </c>
      <c r="E53" s="14" t="inlineStr">
        <is>
          <t>Structure</t>
        </is>
      </c>
      <c r="F53" s="5" t="inlineStr"/>
      <c r="G53" s="26" t="inlineStr">
        <is>
          <t>Verified</t>
        </is>
      </c>
      <c r="H53" s="5" t="inlineStr">
        <is>
          <t>2035 Job Detail Report.pdf (Sage Timberline, 04/03/2026)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22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0" customWidth="1" min="3" max="3"/>
    <col width="38" customWidth="1" min="4" max="4"/>
    <col width="14" customWidth="1" min="5" max="5"/>
    <col width="14" customWidth="1" min="6" max="6"/>
    <col width="12" customWidth="1" min="7" max="7"/>
    <col width="40" customWidth="1" min="8" max="8"/>
  </cols>
  <sheetData>
    <row r="2" ht="28" customHeight="1">
      <c r="B2" s="1" t="inlineStr">
        <is>
          <t>Vendors — AP Summary</t>
        </is>
      </c>
    </row>
    <row r="3">
      <c r="B3" s="2" t="inlineStr">
        <is>
          <t>Vendor-level spend ranking</t>
        </is>
      </c>
    </row>
    <row r="5">
      <c r="B5" s="13" t="inlineStr">
        <is>
          <t>Rank</t>
        </is>
      </c>
      <c r="C5" s="13" t="inlineStr">
        <is>
          <t>Vendor ID</t>
        </is>
      </c>
      <c r="D5" s="13" t="inlineStr">
        <is>
          <t>Vendor Name</t>
        </is>
      </c>
      <c r="E5" s="13" t="inlineStr">
        <is>
          <t>Total Spend</t>
        </is>
      </c>
      <c r="F5" s="13" t="inlineStr">
        <is>
          <t># Transactions</t>
        </is>
      </c>
      <c r="G5" s="13" t="inlineStr">
        <is>
          <t>% of AP</t>
        </is>
      </c>
      <c r="H5" s="13" t="inlineStr">
        <is>
          <t>Source</t>
        </is>
      </c>
    </row>
    <row r="6">
      <c r="B6" s="14" t="n">
        <v>1</v>
      </c>
      <c r="C6" s="14" t="inlineStr">
        <is>
          <t>2035CS</t>
        </is>
      </c>
      <c r="D6" s="5" t="inlineStr">
        <is>
          <t>Consolidated Supply Co. $162Ten</t>
        </is>
      </c>
      <c r="E6" s="15" t="n">
        <v>63855.40999999999</v>
      </c>
      <c r="F6" s="14" t="n">
        <v>22</v>
      </c>
      <c r="G6" s="16">
        <f>E6/135428.2</f>
        <v/>
      </c>
      <c r="H6" s="8" t="inlineStr">
        <is>
          <t>2035 Job Detail Report.pdf (Sage Timberline, 04/03/2026)</t>
        </is>
      </c>
    </row>
    <row r="7">
      <c r="B7" s="14" t="n">
        <v>2</v>
      </c>
      <c r="C7" s="14" t="inlineStr">
        <is>
          <t>2035RS</t>
        </is>
      </c>
      <c r="D7" s="5" t="inlineStr">
        <is>
          <t>Rosen Supply Company, Inc. $162Ten</t>
        </is>
      </c>
      <c r="E7" s="15" t="n">
        <v>54966.50000000002</v>
      </c>
      <c r="F7" s="14" t="n">
        <v>52</v>
      </c>
      <c r="G7" s="16">
        <f>E7/135428.2</f>
        <v/>
      </c>
      <c r="H7" s="8" t="inlineStr">
        <is>
          <t>2035 Job Detail Report.pdf (Sage Timberline, 04/03/2026)</t>
        </is>
      </c>
    </row>
    <row r="8">
      <c r="B8" s="14" t="n">
        <v>3</v>
      </c>
      <c r="C8" s="14" t="inlineStr">
        <is>
          <t>2035KS</t>
        </is>
      </c>
      <c r="D8" s="5" t="inlineStr">
        <is>
          <t>Keller Supply Co. $162 Ten</t>
        </is>
      </c>
      <c r="E8" s="15" t="n">
        <v>5440.660000000001</v>
      </c>
      <c r="F8" s="14" t="n">
        <v>8</v>
      </c>
      <c r="G8" s="16">
        <f>E8/135428.2</f>
        <v/>
      </c>
      <c r="H8" s="8" t="inlineStr">
        <is>
          <t>2035 Job Detail Report.pdf (Sage Timberline, 04/03/2026)</t>
        </is>
      </c>
    </row>
    <row r="9">
      <c r="B9" s="14" t="n">
        <v>4</v>
      </c>
      <c r="C9" s="14" t="inlineStr">
        <is>
          <t>7423OC</t>
        </is>
      </c>
      <c r="D9" s="5" t="inlineStr">
        <is>
          <t>Old Castle Infrastructure, Inc.</t>
        </is>
      </c>
      <c r="E9" s="15" t="n">
        <v>3511</v>
      </c>
      <c r="F9" s="14" t="n">
        <v>1</v>
      </c>
      <c r="G9" s="16">
        <f>E9/135428.2</f>
        <v/>
      </c>
      <c r="H9" s="8" t="inlineStr">
        <is>
          <t>2035 Job Detail Report.pdf (Sage Timberline, 04/03/2026)</t>
        </is>
      </c>
    </row>
    <row r="10">
      <c r="B10" s="14" t="n">
        <v>5</v>
      </c>
      <c r="C10" s="14" t="inlineStr">
        <is>
          <t>2031CS</t>
        </is>
      </c>
      <c r="D10" s="5" t="inlineStr">
        <is>
          <t>Consolidated Supply Co. $Iss Gateway</t>
        </is>
      </c>
      <c r="E10" s="15" t="n">
        <v>1855.54</v>
      </c>
      <c r="F10" s="14" t="n">
        <v>1</v>
      </c>
      <c r="G10" s="16">
        <f>E10/135428.2</f>
        <v/>
      </c>
      <c r="H10" s="8" t="inlineStr">
        <is>
          <t>2035 Job Detail Report.pdf (Sage Timberline, 04/03/2026)</t>
        </is>
      </c>
    </row>
    <row r="11">
      <c r="B11" s="14" t="n">
        <v>6</v>
      </c>
      <c r="C11" s="14" t="inlineStr">
        <is>
          <t>5919PW</t>
        </is>
      </c>
      <c r="D11" s="5" t="inlineStr">
        <is>
          <t>Patchworks, Inc.</t>
        </is>
      </c>
      <c r="E11" s="15" t="n">
        <v>1200</v>
      </c>
      <c r="F11" s="14" t="n">
        <v>1</v>
      </c>
      <c r="G11" s="16">
        <f>E11/135428.2</f>
        <v/>
      </c>
      <c r="H11" s="8" t="inlineStr">
        <is>
          <t>2035 Job Detail Report.pdf (Sage Timberline, 04/03/2026)</t>
        </is>
      </c>
    </row>
    <row r="12">
      <c r="B12" s="14" t="n">
        <v>7</v>
      </c>
      <c r="C12" s="14" t="inlineStr">
        <is>
          <t>1130CS</t>
        </is>
      </c>
      <c r="D12" s="5" t="inlineStr">
        <is>
          <t>Consolidated Supply Co.</t>
        </is>
      </c>
      <c r="E12" s="15" t="n">
        <v>1139.94</v>
      </c>
      <c r="F12" s="14" t="n">
        <v>4</v>
      </c>
      <c r="G12" s="16">
        <f>E12/135428.2</f>
        <v/>
      </c>
      <c r="H12" s="8" t="inlineStr">
        <is>
          <t>2035 Job Detail Report.pdf (Sage Timberline, 04/03/2026)</t>
        </is>
      </c>
    </row>
    <row r="13">
      <c r="B13" s="14" t="n">
        <v>8</v>
      </c>
      <c r="C13" s="14" t="inlineStr">
        <is>
          <t>5585CH</t>
        </is>
      </c>
      <c r="D13" s="5" t="inlineStr">
        <is>
          <t>Columbia Hydronics</t>
        </is>
      </c>
      <c r="E13" s="15" t="n">
        <v>765</v>
      </c>
      <c r="F13" s="14" t="n">
        <v>1</v>
      </c>
      <c r="G13" s="16">
        <f>E13/135428.2</f>
        <v/>
      </c>
      <c r="H13" s="8" t="inlineStr">
        <is>
          <t>2035 Job Detail Report.pdf (Sage Timberline, 04/03/2026)</t>
        </is>
      </c>
    </row>
    <row r="14">
      <c r="B14" s="14" t="n">
        <v>9</v>
      </c>
      <c r="C14" s="14" t="inlineStr">
        <is>
          <t>1609QC</t>
        </is>
      </c>
      <c r="D14" s="5" t="inlineStr">
        <is>
          <t>Quality Concrete Products, Inc. $32</t>
        </is>
      </c>
      <c r="E14" s="15" t="n">
        <v>660</v>
      </c>
      <c r="F14" s="14" t="n">
        <v>2</v>
      </c>
      <c r="G14" s="16">
        <f>E14/135428.2</f>
        <v/>
      </c>
      <c r="H14" s="8" t="inlineStr">
        <is>
          <t>2035 Job Detail Report.pdf (Sage Timberline, 04/03/2026)</t>
        </is>
      </c>
    </row>
    <row r="15">
      <c r="B15" s="14" t="n">
        <v>10</v>
      </c>
      <c r="C15" s="14" t="inlineStr">
        <is>
          <t>5621HD</t>
        </is>
      </c>
      <c r="D15" s="5" t="inlineStr">
        <is>
          <t>Core &amp; Main LP $HD Supply Waterworks</t>
        </is>
      </c>
      <c r="E15" s="15" t="n">
        <v>570</v>
      </c>
      <c r="F15" s="14" t="n">
        <v>1</v>
      </c>
      <c r="G15" s="16">
        <f>E15/135428.2</f>
        <v/>
      </c>
      <c r="H15" s="8" t="inlineStr">
        <is>
          <t>2035 Job Detail Report.pdf (Sage Timberline, 04/03/2026)</t>
        </is>
      </c>
    </row>
    <row r="16">
      <c r="B16" s="14" t="n">
        <v>11</v>
      </c>
      <c r="C16" s="14" t="inlineStr">
        <is>
          <t>1380RS</t>
        </is>
      </c>
      <c r="D16" s="5" t="inlineStr">
        <is>
          <t>Rosen Supply Kirkland</t>
        </is>
      </c>
      <c r="E16" s="15" t="n">
        <v>478.37</v>
      </c>
      <c r="F16" s="14" t="n">
        <v>5</v>
      </c>
      <c r="G16" s="16">
        <f>E16/135428.2</f>
        <v/>
      </c>
      <c r="H16" s="8" t="inlineStr">
        <is>
          <t>2035 Job Detail Report.pdf (Sage Timberline, 04/03/2026)</t>
        </is>
      </c>
    </row>
    <row r="17">
      <c r="B17" s="14" t="n">
        <v>12</v>
      </c>
      <c r="C17" s="14" t="inlineStr">
        <is>
          <t>1175FE</t>
        </is>
      </c>
      <c r="D17" s="5" t="inlineStr">
        <is>
          <t>Ferguson Enterprises, Inc. #3007</t>
        </is>
      </c>
      <c r="E17" s="15" t="n">
        <v>371.02</v>
      </c>
      <c r="F17" s="14" t="n">
        <v>3</v>
      </c>
      <c r="G17" s="16">
        <f>E17/135428.2</f>
        <v/>
      </c>
      <c r="H17" s="8" t="inlineStr">
        <is>
          <t>2035 Job Detail Report.pdf (Sage Timberline, 04/03/2026)</t>
        </is>
      </c>
    </row>
    <row r="18">
      <c r="B18" s="14" t="n">
        <v>13</v>
      </c>
      <c r="C18" s="14" t="inlineStr">
        <is>
          <t>2132MH</t>
        </is>
      </c>
      <c r="D18" s="5" t="inlineStr">
        <is>
          <t>Manor Hardware &amp; Construction Supply</t>
        </is>
      </c>
      <c r="E18" s="15" t="n">
        <v>305.76</v>
      </c>
      <c r="F18" s="14" t="n">
        <v>1</v>
      </c>
      <c r="G18" s="16">
        <f>E18/135428.2</f>
        <v/>
      </c>
      <c r="H18" s="8" t="inlineStr">
        <is>
          <t>2035 Job Detail Report.pdf (Sage Timberline, 04/03/2026)</t>
        </is>
      </c>
    </row>
    <row r="19">
      <c r="B19" s="14" t="n">
        <v>14</v>
      </c>
      <c r="C19" s="14" t="inlineStr">
        <is>
          <t>1421RA</t>
        </is>
      </c>
      <c r="D19" s="5" t="inlineStr">
        <is>
          <t>R.A. Brown Backflow Testing</t>
        </is>
      </c>
      <c r="E19" s="15" t="n">
        <v>200</v>
      </c>
      <c r="F19" s="14" t="n">
        <v>2</v>
      </c>
      <c r="G19" s="16">
        <f>E19/135428.2</f>
        <v/>
      </c>
      <c r="H19" s="8" t="inlineStr">
        <is>
          <t>2035 Job Detail Report.pdf (Sage Timberline, 04/03/2026)</t>
        </is>
      </c>
    </row>
    <row r="20">
      <c r="B20" s="14" t="n">
        <v>15</v>
      </c>
      <c r="C20" s="14" t="inlineStr">
        <is>
          <t>1234BA</t>
        </is>
      </c>
      <c r="D20" s="5" t="inlineStr">
        <is>
          <t>Bank of America CC</t>
        </is>
      </c>
      <c r="E20" s="15" t="n">
        <v>109</v>
      </c>
      <c r="F20" s="14" t="n">
        <v>1</v>
      </c>
      <c r="G20" s="16">
        <f>E20/135428.2</f>
        <v/>
      </c>
      <c r="H20" s="8" t="inlineStr">
        <is>
          <t>2035 Job Detail Report.pdf (Sage Timberline, 04/03/2026)</t>
        </is>
      </c>
    </row>
    <row r="21">
      <c r="B21" s="14" t="n">
        <v>16</v>
      </c>
      <c r="C21" s="14" t="inlineStr">
        <is>
          <t>2034RS</t>
        </is>
      </c>
      <c r="D21" s="5" t="inlineStr">
        <is>
          <t>Rosen Supply Company, Inc. $Park Lane</t>
        </is>
      </c>
      <c r="E21" s="15" t="n">
        <v>0</v>
      </c>
      <c r="F21" s="14" t="n">
        <v>2</v>
      </c>
      <c r="G21" s="16">
        <f>E21/135428.2</f>
        <v/>
      </c>
      <c r="H21" s="8" t="inlineStr">
        <is>
          <t>2035 Job Detail Report.pdf (Sage Timberline, 04/03/2026)</t>
        </is>
      </c>
    </row>
    <row r="22">
      <c r="B22" s="18" t="inlineStr">
        <is>
          <t>TOTAL</t>
        </is>
      </c>
      <c r="E22" s="9">
        <f>SUM(E6:E21)</f>
        <v/>
      </c>
      <c r="F22" s="23">
        <f>SUM(F6:F21)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10"/>
  <sheetViews>
    <sheetView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22" customWidth="1" min="3" max="3"/>
    <col width="18" customWidth="1" min="4" max="4"/>
    <col width="50" customWidth="1" min="5" max="5"/>
    <col width="22" customWidth="1" min="6" max="6"/>
    <col width="16" customWidth="1" min="7" max="7"/>
    <col width="18" customWidth="1" min="8" max="8"/>
    <col width="42" customWidth="1" min="9" max="9"/>
  </cols>
  <sheetData>
    <row r="2" ht="28" customHeight="1">
      <c r="B2" s="1" t="inlineStr">
        <is>
          <t>Change Log — Master Register</t>
        </is>
      </c>
    </row>
    <row r="3">
      <c r="B3" s="2" t="inlineStr">
        <is>
          <t>Contract, CO net, retainage events — JDR only</t>
        </is>
      </c>
    </row>
    <row r="5">
      <c r="B5" s="13" t="inlineStr">
        <is>
          <t>Event ID</t>
        </is>
      </c>
      <c r="C5" s="13" t="inlineStr">
        <is>
          <t>Type</t>
        </is>
      </c>
      <c r="D5" s="13" t="inlineStr">
        <is>
          <t>Date</t>
        </is>
      </c>
      <c r="E5" s="13" t="inlineStr">
        <is>
          <t>Subject</t>
        </is>
      </c>
      <c r="F5" s="13" t="inlineStr">
        <is>
          <t>Originator</t>
        </is>
      </c>
      <c r="G5" s="13" t="inlineStr">
        <is>
          <t>Cost Impact ($)</t>
        </is>
      </c>
      <c r="H5" s="13" t="inlineStr">
        <is>
          <t>Status</t>
        </is>
      </c>
      <c r="I5" s="13" t="inlineStr">
        <is>
          <t>Source</t>
        </is>
      </c>
    </row>
    <row r="6">
      <c r="B6" s="14" t="inlineStr">
        <is>
          <t>CONTRACT-ORIG</t>
        </is>
      </c>
      <c r="C6" s="14" t="inlineStr">
        <is>
          <t>Contract</t>
        </is>
      </c>
      <c r="D6" s="14" t="inlineStr">
        <is>
          <t>2016-08-16</t>
        </is>
      </c>
      <c r="E6" s="5" t="inlineStr">
        <is>
          <t>Prime subcontract — Lump Sum $717,400.00</t>
        </is>
      </c>
      <c r="F6" s="5" t="inlineStr">
        <is>
          <t>Natural &amp; Built LLC</t>
        </is>
      </c>
      <c r="G6" s="15" t="n">
        <v>717400</v>
      </c>
      <c r="H6" s="14" t="inlineStr">
        <is>
          <t>Executed</t>
        </is>
      </c>
      <c r="I6" s="8" t="inlineStr">
        <is>
          <t>2035-Natural &amp; Built LLC subcontract + Job Info sheet</t>
        </is>
      </c>
    </row>
    <row r="7">
      <c r="B7" s="14" t="inlineStr">
        <is>
          <t>CO-NET</t>
        </is>
      </c>
      <c r="C7" s="14" t="inlineStr">
        <is>
          <t>Change Order (net)</t>
        </is>
      </c>
      <c r="D7" s="14" t="inlineStr">
        <is>
          <t>—</t>
        </is>
      </c>
      <c r="E7" s="5" t="inlineStr">
        <is>
          <t>Net JDR-implied COs $+4,890.00</t>
        </is>
      </c>
      <c r="F7" s="5" t="inlineStr">
        <is>
          <t>Natural &amp; Built LLC</t>
        </is>
      </c>
      <c r="G7" s="15" t="n">
        <v>4890</v>
      </c>
      <c r="H7" s="14" t="inlineStr">
        <is>
          <t>Executed</t>
        </is>
      </c>
      <c r="I7" s="8" t="inlineStr">
        <is>
          <t>2035 Job Detail Report.pdf (Sage Timberline, 04/03/2026)</t>
        </is>
      </c>
    </row>
    <row r="8">
      <c r="B8" s="14" t="inlineStr">
        <is>
          <t>FIRST-INVOICE</t>
        </is>
      </c>
      <c r="C8" s="14" t="inlineStr">
        <is>
          <t>Invoice</t>
        </is>
      </c>
      <c r="D8" s="14" t="inlineStr">
        <is>
          <t>01/19/18</t>
        </is>
      </c>
      <c r="E8" s="5" t="inlineStr">
        <is>
          <t>First billing (per JDR)</t>
        </is>
      </c>
      <c r="F8" s="5" t="inlineStr">
        <is>
          <t>Sub (OWP)</t>
        </is>
      </c>
      <c r="G8" s="15" t="n">
        <v>0</v>
      </c>
      <c r="H8" s="14" t="inlineStr">
        <is>
          <t>Paid</t>
        </is>
      </c>
      <c r="I8" s="8" t="inlineStr">
        <is>
          <t>2035 Job Detail Report.pdf (Sage Timberline, 04/03/2026)</t>
        </is>
      </c>
    </row>
    <row r="9">
      <c r="B9" s="14" t="inlineStr">
        <is>
          <t>LAST-INVOICE</t>
        </is>
      </c>
      <c r="C9" s="14" t="inlineStr">
        <is>
          <t>Invoice</t>
        </is>
      </c>
      <c r="D9" s="14" t="inlineStr">
        <is>
          <t>12/15/17</t>
        </is>
      </c>
      <c r="E9" s="5" t="inlineStr">
        <is>
          <t>Last billing (per JDR)</t>
        </is>
      </c>
      <c r="F9" s="5" t="inlineStr">
        <is>
          <t>Sub (OWP)</t>
        </is>
      </c>
      <c r="G9" s="15" t="n">
        <v>0</v>
      </c>
      <c r="H9" s="14" t="inlineStr">
        <is>
          <t>Paid</t>
        </is>
      </c>
      <c r="I9" s="8" t="inlineStr">
        <is>
          <t>2035 Job Detail Report.pdf (Sage Timberline, 04/03/2026)</t>
        </is>
      </c>
    </row>
    <row r="10">
      <c r="B10" s="14" t="inlineStr">
        <is>
          <t>RETAINAGE-OPEN</t>
        </is>
      </c>
      <c r="C10" s="14" t="inlineStr">
        <is>
          <t>Retainage</t>
        </is>
      </c>
      <c r="D10" s="14" t="inlineStr">
        <is>
          <t>As of 04/03/2026</t>
        </is>
      </c>
      <c r="E10" s="5" t="inlineStr">
        <is>
          <t>Retainage $36,114.51 open</t>
        </is>
      </c>
      <c r="F10" s="5" t="inlineStr">
        <is>
          <t>GC</t>
        </is>
      </c>
      <c r="G10" s="15" t="n">
        <v>0</v>
      </c>
      <c r="H10" s="14" t="inlineStr">
        <is>
          <t>Outstanding</t>
        </is>
      </c>
      <c r="I10" s="8" t="inlineStr">
        <is>
          <t>2035 Job Detail Report.pdf (Sage Timberline, 04/03/2026)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J20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40" customWidth="1" min="3" max="3"/>
    <col width="18" customWidth="1" min="4" max="4"/>
    <col width="40" customWidth="1" min="5" max="5"/>
    <col width="44" customWidth="1" min="6" max="6"/>
  </cols>
  <sheetData>
    <row r="2" ht="28" customHeight="1">
      <c r="B2" s="1" t="inlineStr">
        <is>
          <t>Root Cause Analysis</t>
        </is>
      </c>
    </row>
    <row r="3">
      <c r="B3" s="2" t="inlineStr">
        <is>
          <t>Primary variance drivers by category</t>
        </is>
      </c>
    </row>
    <row r="5">
      <c r="B5" s="13" t="inlineStr">
        <is>
          <t>Category</t>
        </is>
      </c>
      <c r="C5" s="13" t="inlineStr">
        <is>
          <t>Codes</t>
        </is>
      </c>
      <c r="D5" s="13" t="inlineStr">
        <is>
          <t>Net $ Variance</t>
        </is>
      </c>
      <c r="E5" s="13" t="inlineStr">
        <is>
          <t>Root Cause (inferred)</t>
        </is>
      </c>
      <c r="F5" s="13" t="inlineStr">
        <is>
          <t>Notes</t>
        </is>
      </c>
    </row>
    <row r="6">
      <c r="B6" s="5" t="inlineStr">
        <is>
          <t>Contract Change</t>
        </is>
      </c>
      <c r="C6" s="5" t="inlineStr">
        <is>
          <t>999 (Sales)</t>
        </is>
      </c>
      <c r="D6" s="15" t="n">
        <v>4890</v>
      </c>
      <c r="E6" s="5" t="inlineStr">
        <is>
          <t>JDR-implied net CO impact</t>
        </is>
      </c>
      <c r="F6" s="8" t="inlineStr">
        <is>
          <t>$717,400 → $722,290</t>
        </is>
      </c>
    </row>
    <row r="7">
      <c r="B7" s="5" t="inlineStr">
        <is>
          <t>Labor</t>
        </is>
      </c>
      <c r="C7" s="5" t="inlineStr">
        <is>
          <t>100,101,110,111,112,120,130,141,142</t>
        </is>
      </c>
      <c r="D7" s="15" t="n">
        <v>-51821.5</v>
      </c>
      <c r="E7" s="5" t="inlineStr">
        <is>
          <t>Labor variance vs revised budget</t>
        </is>
      </c>
      <c r="F7" s="8" t="inlineStr">
        <is>
          <t>24 workers</t>
        </is>
      </c>
    </row>
    <row r="8">
      <c r="B8" s="5" t="inlineStr">
        <is>
          <t>Material</t>
        </is>
      </c>
      <c r="C8" s="5" t="inlineStr">
        <is>
          <t>210,211,212,220,230,241,242,243</t>
        </is>
      </c>
      <c r="D8" s="15" t="n">
        <v>-50930.39</v>
      </c>
      <c r="E8" s="5" t="inlineStr">
        <is>
          <t>Material procurement variance</t>
        </is>
      </c>
      <c r="F8" s="8" t="inlineStr">
        <is>
          <t>16 vendors</t>
        </is>
      </c>
    </row>
    <row r="9">
      <c r="B9" s="5" t="inlineStr">
        <is>
          <t>Overhead</t>
        </is>
      </c>
      <c r="C9" s="5" t="inlineStr">
        <is>
          <t>600,603</t>
        </is>
      </c>
      <c r="D9" s="15" t="n">
        <v>-691</v>
      </c>
      <c r="E9" s="5" t="inlineStr">
        <is>
          <t>Engineering/permits/subcon variance</t>
        </is>
      </c>
      <c r="F9" s="8" t="inlineStr"/>
    </row>
    <row r="10">
      <c r="B10" s="5" t="inlineStr">
        <is>
          <t>Burden+Tax</t>
        </is>
      </c>
      <c r="C10" s="5" t="inlineStr">
        <is>
          <t>995+998</t>
        </is>
      </c>
      <c r="D10" s="15" t="n">
        <v>-26659.48</v>
      </c>
      <c r="E10" s="5" t="inlineStr">
        <is>
          <t>Payroll accrual tracking labor</t>
        </is>
      </c>
      <c r="F10" s="8" t="inlineStr"/>
    </row>
    <row r="11">
      <c r="B11" s="18" t="inlineStr">
        <is>
          <t>TOTAL NET VARIANCE</t>
        </is>
      </c>
      <c r="D11" s="19">
        <f>SUM(D6:D10)</f>
        <v/>
      </c>
    </row>
    <row r="14">
      <c r="B14" s="3" t="inlineStr">
        <is>
          <t>RESPONSIBILITY ATTRIBUTION</t>
        </is>
      </c>
    </row>
    <row r="15">
      <c r="B15" s="13" t="inlineStr">
        <is>
          <t>Responsible Party</t>
        </is>
      </c>
      <c r="C15" s="13" t="inlineStr">
        <is>
          <t># Drivers</t>
        </is>
      </c>
      <c r="D15" s="13" t="inlineStr">
        <is>
          <t>Net $ Impact</t>
        </is>
      </c>
      <c r="E15" s="13" t="inlineStr">
        <is>
          <t>Notes</t>
        </is>
      </c>
    </row>
    <row r="16">
      <c r="B16" s="5" t="inlineStr">
        <is>
          <t>GC / Owner (scope changes)</t>
        </is>
      </c>
      <c r="C16" s="14" t="n">
        <v>1</v>
      </c>
      <c r="D16" s="15" t="n">
        <v>4890</v>
      </c>
      <c r="E16" s="5" t="inlineStr">
        <is>
          <t>Aggregate JDR-implied COs</t>
        </is>
      </c>
    </row>
    <row r="17">
      <c r="B17" s="5" t="inlineStr">
        <is>
          <t>Sub (OWP) labor performance</t>
        </is>
      </c>
      <c r="C17" s="14" t="n">
        <v>9</v>
      </c>
      <c r="D17" s="15" t="n">
        <v>-51821.5</v>
      </c>
      <c r="E17" s="5" t="inlineStr">
        <is>
          <t>Hours + rate vs budget</t>
        </is>
      </c>
    </row>
    <row r="18">
      <c r="B18" s="5" t="inlineStr">
        <is>
          <t>Sub (OWP) material procurement</t>
        </is>
      </c>
      <c r="C18" s="14" t="n">
        <v>8</v>
      </c>
      <c r="D18" s="15" t="n">
        <v>-50930.39</v>
      </c>
      <c r="E18" s="5" t="inlineStr">
        <is>
          <t>16 vendors</t>
        </is>
      </c>
    </row>
    <row r="19">
      <c r="B19" s="5" t="inlineStr">
        <is>
          <t>OWP burden accrual</t>
        </is>
      </c>
      <c r="C19" s="14" t="n">
        <v>2</v>
      </c>
      <c r="D19" s="15" t="n">
        <v>-26659.48</v>
      </c>
      <c r="E19" s="5" t="inlineStr">
        <is>
          <t>Payroll burden + tax</t>
        </is>
      </c>
    </row>
    <row r="20">
      <c r="B20" s="5" t="inlineStr">
        <is>
          <t>OWP overhead</t>
        </is>
      </c>
      <c r="C20" s="14" t="n">
        <v>2</v>
      </c>
      <c r="D20" s="15" t="n">
        <v>-691</v>
      </c>
      <c r="E20" s="5" t="inlineStr">
        <is>
          <t>Engineering/permits/subcon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23"/>
  <sheetViews>
    <sheetView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22" customWidth="1" min="3" max="3"/>
    <col width="20" customWidth="1" min="4" max="4"/>
    <col width="20" customWidth="1" min="5" max="5"/>
    <col width="58" customWidth="1" min="6" max="6"/>
  </cols>
  <sheetData>
    <row r="2" ht="28" customHeight="1">
      <c r="B2" s="1" t="inlineStr">
        <is>
          <t>Predictive Signals</t>
        </is>
      </c>
    </row>
    <row r="3">
      <c r="B3" s="2" t="inlineStr">
        <is>
          <t>Leading indicators from JDR</t>
        </is>
      </c>
    </row>
    <row r="5">
      <c r="B5" s="3" t="inlineStr">
        <is>
          <t>CURRENT-STATE SIGNALS</t>
        </is>
      </c>
    </row>
    <row r="6">
      <c r="B6" s="13" t="inlineStr">
        <is>
          <t>Indicator</t>
        </is>
      </c>
      <c r="C6" s="13" t="inlineStr">
        <is>
          <t>Current Value</t>
        </is>
      </c>
      <c r="D6" s="13" t="inlineStr">
        <is>
          <t>Benchmark</t>
        </is>
      </c>
      <c r="E6" s="13" t="inlineStr">
        <is>
          <t>Status</t>
        </is>
      </c>
      <c r="F6" s="13" t="inlineStr">
        <is>
          <t>Meaning</t>
        </is>
      </c>
    </row>
    <row r="7">
      <c r="B7" s="5" t="inlineStr">
        <is>
          <t>Contract Change %</t>
        </is>
      </c>
      <c r="C7" s="14" t="inlineStr">
        <is>
          <t>0.68%</t>
        </is>
      </c>
      <c r="D7" s="14" t="inlineStr">
        <is>
          <t>±10%</t>
        </is>
      </c>
      <c r="E7" s="26" t="inlineStr">
        <is>
          <t>HEALTHY</t>
        </is>
      </c>
      <c r="F7" s="5" t="inlineStr">
        <is>
          <t>+0.68% net</t>
        </is>
      </c>
    </row>
    <row r="8">
      <c r="B8" s="5" t="inlineStr">
        <is>
          <t>Labor % of Revenue</t>
        </is>
      </c>
      <c r="C8" s="32" t="n">
        <v>0.184763045314209</v>
      </c>
      <c r="D8" s="14" t="inlineStr">
        <is>
          <t>&lt;30%</t>
        </is>
      </c>
      <c r="E8" s="26" t="inlineStr">
        <is>
          <t>HEALTHY</t>
        </is>
      </c>
      <c r="F8" s="5" t="inlineStr">
        <is>
          <t>18.5%</t>
        </is>
      </c>
    </row>
    <row r="9">
      <c r="B9" s="5" t="inlineStr">
        <is>
          <t>GL Overhead % of Revenue</t>
        </is>
      </c>
      <c r="C9" s="32" t="n">
        <v>0.1320079331016628</v>
      </c>
      <c r="D9" s="14" t="inlineStr">
        <is>
          <t>&lt;5%</t>
        </is>
      </c>
      <c r="E9" s="26" t="inlineStr">
        <is>
          <t>HEALTHY</t>
        </is>
      </c>
      <c r="F9" s="5" t="inlineStr">
        <is>
          <t>13.2%</t>
        </is>
      </c>
    </row>
    <row r="10">
      <c r="B10" s="5" t="inlineStr">
        <is>
          <t>Vendor Concentration (Top 5)</t>
        </is>
      </c>
      <c r="C10" s="32" t="n">
        <v>0.9571795977499515</v>
      </c>
      <c r="D10" s="14" t="inlineStr">
        <is>
          <t>&lt;95%</t>
        </is>
      </c>
      <c r="E10" s="26" t="inlineStr">
        <is>
          <t>HEALTHY</t>
        </is>
      </c>
      <c r="F10" s="5" t="inlineStr">
        <is>
          <t>Top 5 = 96% of AP</t>
        </is>
      </c>
    </row>
    <row r="11">
      <c r="B11" s="5" t="inlineStr">
        <is>
          <t>Retainage %</t>
        </is>
      </c>
      <c r="C11" s="32" t="n">
        <v>0.05000001384485456</v>
      </c>
      <c r="D11" s="14" t="inlineStr">
        <is>
          <t>&lt;10%</t>
        </is>
      </c>
      <c r="E11" s="26" t="inlineStr">
        <is>
          <t>HEALTHY</t>
        </is>
      </c>
      <c r="F11" s="5" t="inlineStr">
        <is>
          <t>5.0%</t>
        </is>
      </c>
    </row>
    <row r="12">
      <c r="B12" s="5" t="inlineStr">
        <is>
          <t>Gross Margin</t>
        </is>
      </c>
      <c r="C12" s="32" t="n">
        <v>0.4963702806352019</v>
      </c>
      <c r="D12" s="14" t="inlineStr">
        <is>
          <t>&gt;30%</t>
        </is>
      </c>
      <c r="E12" s="26" t="inlineStr">
        <is>
          <t>HEALTHY</t>
        </is>
      </c>
      <c r="F12" s="5" t="inlineStr">
        <is>
          <t>49.6%</t>
        </is>
      </c>
    </row>
    <row r="13">
      <c r="B13" s="5" t="inlineStr">
        <is>
          <t>Labor Hrs Total</t>
        </is>
      </c>
      <c r="C13" s="32" t="n">
        <v>5204.75</v>
      </c>
      <c r="D13" s="14" t="inlineStr">
        <is>
          <t>varies</t>
        </is>
      </c>
      <c r="E13" s="33" t="inlineStr">
        <is>
          <t>INFO</t>
        </is>
      </c>
      <c r="F13" s="5" t="inlineStr">
        <is>
          <t>5,205 hrs, 24 workers</t>
        </is>
      </c>
    </row>
    <row r="14">
      <c r="B14" s="5" t="inlineStr">
        <is>
          <t>Worker Concentration (top 1)</t>
        </is>
      </c>
      <c r="C14" s="32" t="n">
        <v>0.2098083481435228</v>
      </c>
      <c r="D14" s="14" t="inlineStr">
        <is>
          <t>&lt;25%</t>
        </is>
      </c>
      <c r="E14" s="26" t="inlineStr">
        <is>
          <t>HEALTHY</t>
        </is>
      </c>
      <c r="F14" s="5" t="inlineStr">
        <is>
          <t>21.0% (Reed, Reuben H)</t>
        </is>
      </c>
    </row>
    <row r="15">
      <c r="B15" s="5" t="inlineStr">
        <is>
          <t>Rough-in Labor Share</t>
        </is>
      </c>
      <c r="C15" s="32" t="n">
        <v>0.5554541524568903</v>
      </c>
      <c r="D15" s="14" t="inlineStr">
        <is>
          <t>40-65%</t>
        </is>
      </c>
      <c r="E15" s="26" t="inlineStr">
        <is>
          <t>HEALTHY</t>
        </is>
      </c>
      <c r="F15" s="5" t="inlineStr">
        <is>
          <t>56%</t>
        </is>
      </c>
    </row>
    <row r="16">
      <c r="B16" s="5" t="inlineStr">
        <is>
          <t>Retainage Legacy</t>
        </is>
      </c>
      <c r="C16" s="14" t="inlineStr">
        <is>
          <t>STALE</t>
        </is>
      </c>
      <c r="D16" s="14" t="inlineStr">
        <is>
          <t>&lt;90 days post-closeout</t>
        </is>
      </c>
      <c r="E16" s="34" t="inlineStr">
        <is>
          <t>ELEVATED</t>
        </is>
      </c>
      <c r="F16" s="5" t="inlineStr">
        <is>
          <t>$36,115 outstanding</t>
        </is>
      </c>
    </row>
    <row r="19">
      <c r="B19" s="3" t="inlineStr">
        <is>
          <t>FORECAST MODELS</t>
        </is>
      </c>
    </row>
    <row r="20">
      <c r="B20" s="13" t="inlineStr">
        <is>
          <t>Forecast</t>
        </is>
      </c>
      <c r="C20" s="13" t="inlineStr">
        <is>
          <t>Current Estimate</t>
        </is>
      </c>
      <c r="D20" s="13" t="inlineStr">
        <is>
          <t>Confidence</t>
        </is>
      </c>
      <c r="E20" s="13" t="inlineStr">
        <is>
          <t>Driver</t>
        </is>
      </c>
      <c r="F20" s="13" t="inlineStr">
        <is>
          <t>Model Note</t>
        </is>
      </c>
    </row>
    <row r="21">
      <c r="B21" s="5" t="inlineStr">
        <is>
          <t>Final margin (actual)</t>
        </is>
      </c>
      <c r="C21" s="32" t="n">
        <v>0.4963702806352019</v>
      </c>
      <c r="D21" s="14" t="inlineStr">
        <is>
          <t>Actual</t>
        </is>
      </c>
      <c r="E21" s="14" t="inlineStr">
        <is>
          <t>Job closed</t>
        </is>
      </c>
      <c r="F21" s="5" t="inlineStr">
        <is>
          <t>49.6%</t>
        </is>
      </c>
    </row>
    <row r="22">
      <c r="B22" s="5" t="inlineStr">
        <is>
          <t>Retainage collection</t>
        </is>
      </c>
      <c r="C22" s="14" t="inlineStr">
        <is>
          <t>$36,115 open</t>
        </is>
      </c>
      <c r="D22" s="14" t="inlineStr">
        <is>
          <t>Low</t>
        </is>
      </c>
      <c r="E22" s="14" t="inlineStr">
        <is>
          <t>Legacy project</t>
        </is>
      </c>
      <c r="F22" s="5" t="inlineStr">
        <is>
          <t>May require LOI/writedown</t>
        </is>
      </c>
    </row>
    <row r="23">
      <c r="B23" s="5" t="inlineStr">
        <is>
          <t>Unit-level economics</t>
        </is>
      </c>
      <c r="C23" s="14" t="inlineStr">
        <is>
          <t>$7,851/unit rev, $3,897/unit profit</t>
        </is>
      </c>
      <c r="D23" s="14" t="inlineStr">
        <is>
          <t>Verified</t>
        </is>
      </c>
      <c r="E23" s="14" t="inlineStr">
        <is>
          <t>92 units</t>
        </is>
      </c>
      <c r="F23" s="5" t="inlineStr">
        <is>
          <t>Multifamily New Construction benchmark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5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28" customWidth="1" min="4" max="4"/>
    <col width="20" customWidth="1" min="5" max="5"/>
    <col width="10" customWidth="1" min="6" max="6"/>
    <col width="18" customWidth="1" min="7" max="7"/>
    <col width="12" customWidth="1" min="8" max="8"/>
    <col width="36" customWidth="1" min="9" max="9"/>
  </cols>
  <sheetData>
    <row r="2" ht="28" customHeight="1">
      <c r="B2" s="1" t="inlineStr">
        <is>
          <t>Metric Registry — Cortex Data Catalog</t>
        </is>
      </c>
    </row>
    <row r="3">
      <c r="B3" s="2" t="inlineStr">
        <is>
          <t>Every metric with data_label, confidence, and source</t>
        </is>
      </c>
    </row>
    <row r="5">
      <c r="B5" s="13" t="inlineStr">
        <is>
          <t>#</t>
        </is>
      </c>
      <c r="C5" s="13" t="inlineStr">
        <is>
          <t>Data Label</t>
        </is>
      </c>
      <c r="D5" s="13" t="inlineStr">
        <is>
          <t>Human Label</t>
        </is>
      </c>
      <c r="E5" s="13" t="inlineStr">
        <is>
          <t>Value</t>
        </is>
      </c>
      <c r="F5" s="13" t="inlineStr">
        <is>
          <t>Unit</t>
        </is>
      </c>
      <c r="G5" s="13" t="inlineStr">
        <is>
          <t>Source Tab</t>
        </is>
      </c>
      <c r="H5" s="13" t="inlineStr">
        <is>
          <t>Confidence</t>
        </is>
      </c>
      <c r="I5" s="13" t="inlineStr">
        <is>
          <t>Source Document(s)</t>
        </is>
      </c>
    </row>
    <row r="6">
      <c r="B6" s="14" t="n">
        <v>1</v>
      </c>
      <c r="C6" s="5" t="inlineStr">
        <is>
          <t>job_number</t>
        </is>
      </c>
      <c r="D6" s="5" t="inlineStr">
        <is>
          <t>Job Number</t>
        </is>
      </c>
      <c r="E6" s="14" t="inlineStr">
        <is>
          <t>2035</t>
        </is>
      </c>
      <c r="F6" s="14" t="inlineStr">
        <is>
          <t>id</t>
        </is>
      </c>
      <c r="G6" s="14" t="inlineStr">
        <is>
          <t>Benchmark KPIs</t>
        </is>
      </c>
      <c r="H6" s="26" t="inlineStr">
        <is>
          <t>Verified</t>
        </is>
      </c>
      <c r="I6" s="5" t="inlineStr">
        <is>
          <t>2035 Job Detail Report.pdf (Sage Timberline, 04/03/2026)</t>
        </is>
      </c>
    </row>
    <row r="7">
      <c r="B7" s="14" t="n">
        <v>2</v>
      </c>
      <c r="C7" s="5" t="inlineStr">
        <is>
          <t>job_name</t>
        </is>
      </c>
      <c r="D7" s="5" t="inlineStr">
        <is>
          <t>Job Name</t>
        </is>
      </c>
      <c r="E7" s="14" t="inlineStr">
        <is>
          <t>162 Ten Apartments</t>
        </is>
      </c>
      <c r="F7" s="14" t="inlineStr">
        <is>
          <t>text</t>
        </is>
      </c>
      <c r="G7" s="14" t="inlineStr">
        <is>
          <t>Benchmark KPIs</t>
        </is>
      </c>
      <c r="H7" s="26" t="inlineStr">
        <is>
          <t>Verified</t>
        </is>
      </c>
      <c r="I7" s="5" t="inlineStr">
        <is>
          <t>2035 Job Detail Report.pdf (Sage Timberline, 04/03/2026)</t>
        </is>
      </c>
    </row>
    <row r="8">
      <c r="B8" s="14" t="n">
        <v>3</v>
      </c>
      <c r="C8" s="5" t="inlineStr">
        <is>
          <t>general_contractor</t>
        </is>
      </c>
      <c r="D8" s="5" t="inlineStr">
        <is>
          <t>GC</t>
        </is>
      </c>
      <c r="E8" s="14" t="inlineStr">
        <is>
          <t>Natural &amp; Built LLC</t>
        </is>
      </c>
      <c r="F8" s="14" t="inlineStr">
        <is>
          <t>text</t>
        </is>
      </c>
      <c r="G8" s="14" t="inlineStr">
        <is>
          <t>Benchmark KPIs</t>
        </is>
      </c>
      <c r="H8" s="26" t="inlineStr">
        <is>
          <t>Verified</t>
        </is>
      </c>
      <c r="I8" s="5" t="inlineStr">
        <is>
          <t>OWP Project List with Schedule - UPDATED 04-01-26.xlsx</t>
        </is>
      </c>
    </row>
    <row r="9">
      <c r="B9" s="14" t="n">
        <v>4</v>
      </c>
      <c r="C9" s="5" t="inlineStr">
        <is>
          <t>owner</t>
        </is>
      </c>
      <c r="D9" s="5" t="inlineStr">
        <is>
          <t>Owner</t>
        </is>
      </c>
      <c r="E9" s="14" t="inlineStr">
        <is>
          <t>162 Ten Apartments LLC (Natural &amp; Built)</t>
        </is>
      </c>
      <c r="F9" s="14" t="inlineStr">
        <is>
          <t>text</t>
        </is>
      </c>
      <c r="G9" s="14" t="inlineStr">
        <is>
          <t>Benchmark KPIs</t>
        </is>
      </c>
      <c r="H9" s="26" t="inlineStr">
        <is>
          <t>Verified</t>
        </is>
      </c>
      <c r="I9" s="5" t="inlineStr">
        <is>
          <t>OWP Project List with Schedule - UPDATED 04-01-26.xlsx</t>
        </is>
      </c>
    </row>
    <row r="10">
      <c r="B10" s="14" t="n">
        <v>5</v>
      </c>
      <c r="C10" s="5" t="inlineStr">
        <is>
          <t>location</t>
        </is>
      </c>
      <c r="D10" s="5" t="inlineStr">
        <is>
          <t>Location</t>
        </is>
      </c>
      <c r="E10" s="14" t="inlineStr">
        <is>
          <t>16210 NE 80th St, Redmond, WA 98052</t>
        </is>
      </c>
      <c r="F10" s="14" t="inlineStr">
        <is>
          <t>text</t>
        </is>
      </c>
      <c r="G10" s="14" t="inlineStr">
        <is>
          <t>Benchmark KPIs</t>
        </is>
      </c>
      <c r="H10" s="26" t="inlineStr">
        <is>
          <t>Verified</t>
        </is>
      </c>
      <c r="I10" s="5" t="inlineStr">
        <is>
          <t>OWP Project List with Schedule - UPDATED 04-01-26.xlsx</t>
        </is>
      </c>
    </row>
    <row r="11">
      <c r="B11" s="14" t="n">
        <v>6</v>
      </c>
      <c r="C11" s="5" t="inlineStr">
        <is>
          <t>project_type</t>
        </is>
      </c>
      <c r="D11" s="5" t="inlineStr">
        <is>
          <t>Project Type</t>
        </is>
      </c>
      <c r="E11" s="14" t="inlineStr">
        <is>
          <t>Multifamily New Construction (92 units)</t>
        </is>
      </c>
      <c r="F11" s="14" t="inlineStr">
        <is>
          <t>text</t>
        </is>
      </c>
      <c r="G11" s="14" t="inlineStr">
        <is>
          <t>Benchmark KPIs</t>
        </is>
      </c>
      <c r="H11" s="26" t="inlineStr">
        <is>
          <t>Verified</t>
        </is>
      </c>
      <c r="I11" s="5" t="inlineStr">
        <is>
          <t>OWP Project List with Schedule - UPDATED 04-01-26.xlsx</t>
        </is>
      </c>
    </row>
    <row r="12">
      <c r="B12" s="14" t="n">
        <v>7</v>
      </c>
      <c r="C12" s="5" t="inlineStr">
        <is>
          <t>insurance_type</t>
        </is>
      </c>
      <c r="D12" s="5" t="inlineStr">
        <is>
          <t>Insurance</t>
        </is>
      </c>
      <c r="E12" s="14" t="inlineStr">
        <is>
          <t>Not Wrap</t>
        </is>
      </c>
      <c r="F12" s="14" t="inlineStr">
        <is>
          <t>text</t>
        </is>
      </c>
      <c r="G12" s="14" t="inlineStr">
        <is>
          <t>Benchmark KPIs</t>
        </is>
      </c>
      <c r="H12" s="26" t="inlineStr">
        <is>
          <t>Verified</t>
        </is>
      </c>
      <c r="I12" s="5" t="inlineStr">
        <is>
          <t>OWP Project List with Schedule - UPDATED 04-01-26.xlsx</t>
        </is>
      </c>
    </row>
    <row r="13">
      <c r="B13" s="14" t="n">
        <v>8</v>
      </c>
      <c r="C13" s="5" t="inlineStr">
        <is>
          <t>gc_pm</t>
        </is>
      </c>
      <c r="D13" s="5" t="inlineStr">
        <is>
          <t>GC PM</t>
        </is>
      </c>
      <c r="E13" s="14" t="inlineStr">
        <is>
          <t>Tyson Cornett</t>
        </is>
      </c>
      <c r="F13" s="14" t="inlineStr">
        <is>
          <t>text</t>
        </is>
      </c>
      <c r="G13" s="14" t="inlineStr">
        <is>
          <t>Benchmark KPIs</t>
        </is>
      </c>
      <c r="H13" s="26" t="inlineStr">
        <is>
          <t>Verified</t>
        </is>
      </c>
      <c r="I13" s="5" t="inlineStr">
        <is>
          <t>OWP Project List with Schedule - UPDATED 04-01-26.xlsx</t>
        </is>
      </c>
    </row>
    <row r="14">
      <c r="B14" s="14" t="n">
        <v>9</v>
      </c>
      <c r="C14" s="5" t="inlineStr">
        <is>
          <t>gc_sup</t>
        </is>
      </c>
      <c r="D14" s="5" t="inlineStr">
        <is>
          <t>GC Sup</t>
        </is>
      </c>
      <c r="E14" s="14" t="inlineStr">
        <is>
          <t>Tyson Cornett</t>
        </is>
      </c>
      <c r="F14" s="14" t="inlineStr">
        <is>
          <t>text</t>
        </is>
      </c>
      <c r="G14" s="14" t="inlineStr">
        <is>
          <t>Benchmark KPIs</t>
        </is>
      </c>
      <c r="H14" s="26" t="inlineStr">
        <is>
          <t>Verified</t>
        </is>
      </c>
      <c r="I14" s="5" t="inlineStr">
        <is>
          <t>OWP Project List with Schedule - UPDATED 04-01-26.xlsx</t>
        </is>
      </c>
    </row>
    <row r="15">
      <c r="B15" s="14" t="n">
        <v>10</v>
      </c>
      <c r="C15" s="5" t="inlineStr">
        <is>
          <t>gc_pe</t>
        </is>
      </c>
      <c r="D15" s="5" t="inlineStr">
        <is>
          <t>GC PE</t>
        </is>
      </c>
      <c r="E15" s="14" t="inlineStr">
        <is>
          <t>TBD</t>
        </is>
      </c>
      <c r="F15" s="14" t="inlineStr">
        <is>
          <t>text</t>
        </is>
      </c>
      <c r="G15" s="14" t="inlineStr">
        <is>
          <t>Benchmark KPIs</t>
        </is>
      </c>
      <c r="H15" s="26" t="inlineStr">
        <is>
          <t>Verified</t>
        </is>
      </c>
      <c r="I15" s="5" t="inlineStr">
        <is>
          <t>OWP Project List with Schedule - UPDATED 04-01-26.xlsx</t>
        </is>
      </c>
    </row>
    <row r="16">
      <c r="B16" s="14" t="n">
        <v>11</v>
      </c>
      <c r="C16" s="5" t="inlineStr">
        <is>
          <t>developer</t>
        </is>
      </c>
      <c r="D16" s="5" t="inlineStr">
        <is>
          <t>Developer</t>
        </is>
      </c>
      <c r="E16" s="14" t="inlineStr">
        <is>
          <t>Natural &amp; Built</t>
        </is>
      </c>
      <c r="F16" s="14" t="inlineStr">
        <is>
          <t>text</t>
        </is>
      </c>
      <c r="G16" s="14" t="inlineStr">
        <is>
          <t>Benchmark KPIs</t>
        </is>
      </c>
      <c r="H16" s="26" t="inlineStr">
        <is>
          <t>Verified</t>
        </is>
      </c>
      <c r="I16" s="5" t="inlineStr">
        <is>
          <t>OWP Project List with Schedule - UPDATED 04-01-26.xlsx</t>
        </is>
      </c>
    </row>
    <row r="17">
      <c r="B17" s="14" t="n">
        <v>12</v>
      </c>
      <c r="C17" s="5" t="inlineStr">
        <is>
          <t>owp_foreman</t>
        </is>
      </c>
      <c r="D17" s="5" t="inlineStr">
        <is>
          <t>OWP RI Foreman</t>
        </is>
      </c>
      <c r="E17" s="14" t="inlineStr">
        <is>
          <t>Reuben</t>
        </is>
      </c>
      <c r="F17" s="14" t="inlineStr">
        <is>
          <t>text</t>
        </is>
      </c>
      <c r="G17" s="14" t="inlineStr">
        <is>
          <t>Benchmark KPIs</t>
        </is>
      </c>
      <c r="H17" s="26" t="inlineStr">
        <is>
          <t>Verified</t>
        </is>
      </c>
      <c r="I17" s="5" t="inlineStr">
        <is>
          <t>Schedule</t>
        </is>
      </c>
    </row>
    <row r="18">
      <c r="B18" s="14" t="n">
        <v>13</v>
      </c>
      <c r="C18" s="5" t="inlineStr">
        <is>
          <t>start_date</t>
        </is>
      </c>
      <c r="D18" s="5" t="inlineStr">
        <is>
          <t>Work Start</t>
        </is>
      </c>
      <c r="E18" s="14" t="inlineStr">
        <is>
          <t>2016-08-16</t>
        </is>
      </c>
      <c r="F18" s="14" t="inlineStr">
        <is>
          <t>date</t>
        </is>
      </c>
      <c r="G18" s="14" t="inlineStr">
        <is>
          <t>Benchmark KPIs</t>
        </is>
      </c>
      <c r="H18" s="26" t="inlineStr">
        <is>
          <t>Verified</t>
        </is>
      </c>
      <c r="I18" s="5" t="inlineStr">
        <is>
          <t>2035 Job Detail Report.pdf (Sage Timberline, 04/03/2026)</t>
        </is>
      </c>
    </row>
    <row r="19">
      <c r="B19" s="14" t="n">
        <v>14</v>
      </c>
      <c r="C19" s="5" t="inlineStr">
        <is>
          <t>end_date</t>
        </is>
      </c>
      <c r="D19" s="5" t="inlineStr">
        <is>
          <t>Work End</t>
        </is>
      </c>
      <c r="E19" s="14" t="inlineStr">
        <is>
          <t>2018</t>
        </is>
      </c>
      <c r="F19" s="14" t="inlineStr">
        <is>
          <t>date</t>
        </is>
      </c>
      <c r="G19" s="14" t="inlineStr">
        <is>
          <t>Benchmark KPIs</t>
        </is>
      </c>
      <c r="H19" s="26" t="inlineStr">
        <is>
          <t>Verified</t>
        </is>
      </c>
      <c r="I19" s="5" t="inlineStr">
        <is>
          <t>2035 Job Detail Report.pdf (Sage Timberline, 04/03/2026)</t>
        </is>
      </c>
    </row>
    <row r="20">
      <c r="B20" s="14" t="n">
        <v>15</v>
      </c>
      <c r="C20" s="5" t="inlineStr">
        <is>
          <t>duration_months</t>
        </is>
      </c>
      <c r="D20" s="5" t="inlineStr">
        <is>
          <t>Duration</t>
        </is>
      </c>
      <c r="E20" s="30" t="n">
        <v>24</v>
      </c>
      <c r="F20" s="14" t="inlineStr">
        <is>
          <t>months</t>
        </is>
      </c>
      <c r="G20" s="14" t="inlineStr">
        <is>
          <t>Benchmark KPIs</t>
        </is>
      </c>
      <c r="H20" s="26" t="inlineStr">
        <is>
          <t>Verified</t>
        </is>
      </c>
      <c r="I20" s="5" t="inlineStr">
        <is>
          <t>Derived</t>
        </is>
      </c>
    </row>
    <row r="21">
      <c r="B21" s="14" t="n">
        <v>16</v>
      </c>
      <c r="C21" s="5" t="inlineStr">
        <is>
          <t>unit_count</t>
        </is>
      </c>
      <c r="D21" s="5" t="inlineStr">
        <is>
          <t>Unit Count</t>
        </is>
      </c>
      <c r="E21" s="27" t="n">
        <v>92</v>
      </c>
      <c r="F21" s="14" t="inlineStr">
        <is>
          <t>units</t>
        </is>
      </c>
      <c r="G21" s="14" t="inlineStr">
        <is>
          <t>Benchmark KPIs</t>
        </is>
      </c>
      <c r="H21" s="26" t="inlineStr">
        <is>
          <t>Verified</t>
        </is>
      </c>
      <c r="I21" s="5" t="inlineStr">
        <is>
          <t>OWP Project List with Schedule - UPDATED 04-01-26.xlsx</t>
        </is>
      </c>
    </row>
    <row r="22">
      <c r="B22" s="14" t="n">
        <v>17</v>
      </c>
      <c r="C22" s="5" t="inlineStr">
        <is>
          <t>contract_original</t>
        </is>
      </c>
      <c r="D22" s="5" t="inlineStr">
        <is>
          <t>Contract Orig</t>
        </is>
      </c>
      <c r="E22" s="28" t="n">
        <v>717400</v>
      </c>
      <c r="F22" s="14" t="inlineStr">
        <is>
          <t>USD</t>
        </is>
      </c>
      <c r="G22" s="14" t="inlineStr">
        <is>
          <t>Benchmark KPIs</t>
        </is>
      </c>
      <c r="H22" s="26" t="inlineStr">
        <is>
          <t>Verified</t>
        </is>
      </c>
      <c r="I22" s="5" t="inlineStr">
        <is>
          <t>OWP Project List with Schedule - UPDATED 04-01-26.xlsx</t>
        </is>
      </c>
    </row>
    <row r="23">
      <c r="B23" s="14" t="n">
        <v>18</v>
      </c>
      <c r="C23" s="5" t="inlineStr">
        <is>
          <t>contract_final</t>
        </is>
      </c>
      <c r="D23" s="5" t="inlineStr">
        <is>
          <t>Contract Final</t>
        </is>
      </c>
      <c r="E23" s="28" t="n">
        <v>722290</v>
      </c>
      <c r="F23" s="14" t="inlineStr">
        <is>
          <t>USD</t>
        </is>
      </c>
      <c r="G23" s="14" t="inlineStr">
        <is>
          <t>Benchmark KPIs</t>
        </is>
      </c>
      <c r="H23" s="26" t="inlineStr">
        <is>
          <t>Verified</t>
        </is>
      </c>
      <c r="I23" s="5" t="inlineStr">
        <is>
          <t>OWP Project List with Schedule - UPDATED 04-01-26.xlsx</t>
        </is>
      </c>
    </row>
    <row r="24">
      <c r="B24" s="14" t="n">
        <v>19</v>
      </c>
      <c r="C24" s="5" t="inlineStr">
        <is>
          <t>change_orders_implied</t>
        </is>
      </c>
      <c r="D24" s="5" t="inlineStr">
        <is>
          <t>CO (implied)</t>
        </is>
      </c>
      <c r="E24" s="28" t="n">
        <v>4890</v>
      </c>
      <c r="F24" s="14" t="inlineStr">
        <is>
          <t>USD</t>
        </is>
      </c>
      <c r="G24" s="14" t="inlineStr">
        <is>
          <t>Benchmark KPIs</t>
        </is>
      </c>
      <c r="H24" s="26" t="inlineStr">
        <is>
          <t>Verified</t>
        </is>
      </c>
      <c r="I24" s="5" t="inlineStr">
        <is>
          <t>2035 Job Detail Report.pdf (Sage Timberline, 04/03/2026)</t>
        </is>
      </c>
    </row>
    <row r="25">
      <c r="B25" s="14" t="n">
        <v>20</v>
      </c>
      <c r="C25" s="5" t="inlineStr">
        <is>
          <t>co_pct</t>
        </is>
      </c>
      <c r="D25" s="5" t="inlineStr">
        <is>
          <t>CO % of Contract</t>
        </is>
      </c>
      <c r="E25" s="29" t="n">
        <v>0.006816281014775579</v>
      </c>
      <c r="F25" s="14" t="inlineStr">
        <is>
          <t>%</t>
        </is>
      </c>
      <c r="G25" s="14" t="inlineStr">
        <is>
          <t>Benchmark KPIs</t>
        </is>
      </c>
      <c r="H25" s="26" t="inlineStr">
        <is>
          <t>Verified</t>
        </is>
      </c>
      <c r="I25" s="5" t="inlineStr">
        <is>
          <t>Derived</t>
        </is>
      </c>
    </row>
    <row r="26">
      <c r="B26" s="14" t="n">
        <v>21</v>
      </c>
      <c r="C26" s="5" t="inlineStr">
        <is>
          <t>revenue</t>
        </is>
      </c>
      <c r="D26" s="5" t="inlineStr">
        <is>
          <t>Revenue</t>
        </is>
      </c>
      <c r="E26" s="28" t="n">
        <v>722290</v>
      </c>
      <c r="F26" s="14" t="inlineStr">
        <is>
          <t>USD</t>
        </is>
      </c>
      <c r="G26" s="14" t="inlineStr">
        <is>
          <t>Benchmark KPIs</t>
        </is>
      </c>
      <c r="H26" s="26" t="inlineStr">
        <is>
          <t>Verified</t>
        </is>
      </c>
      <c r="I26" s="5" t="inlineStr">
        <is>
          <t>2035 Job Detail Report.pdf (Sage Timberline, 04/03/2026)</t>
        </is>
      </c>
    </row>
    <row r="27">
      <c r="B27" s="14" t="n">
        <v>22</v>
      </c>
      <c r="C27" s="5" t="inlineStr">
        <is>
          <t>direct_cost</t>
        </is>
      </c>
      <c r="D27" s="5" t="inlineStr">
        <is>
          <t>Direct Cost</t>
        </is>
      </c>
      <c r="E27" s="28" t="n">
        <v>363766.71</v>
      </c>
      <c r="F27" s="14" t="inlineStr">
        <is>
          <t>USD</t>
        </is>
      </c>
      <c r="G27" s="14" t="inlineStr">
        <is>
          <t>Benchmark KPIs</t>
        </is>
      </c>
      <c r="H27" s="26" t="inlineStr">
        <is>
          <t>Verified</t>
        </is>
      </c>
      <c r="I27" s="5" t="inlineStr">
        <is>
          <t>2035 Job Detail Report.pdf (Sage Timberline, 04/03/2026)</t>
        </is>
      </c>
    </row>
    <row r="28">
      <c r="B28" s="14" t="n">
        <v>23</v>
      </c>
      <c r="C28" s="5" t="inlineStr">
        <is>
          <t>net_profit</t>
        </is>
      </c>
      <c r="D28" s="5" t="inlineStr">
        <is>
          <t>Net Profit</t>
        </is>
      </c>
      <c r="E28" s="28" t="n">
        <v>358523.29</v>
      </c>
      <c r="F28" s="14" t="inlineStr">
        <is>
          <t>USD</t>
        </is>
      </c>
      <c r="G28" s="14" t="inlineStr">
        <is>
          <t>Benchmark KPIs</t>
        </is>
      </c>
      <c r="H28" s="26" t="inlineStr">
        <is>
          <t>Verified</t>
        </is>
      </c>
      <c r="I28" s="5" t="inlineStr">
        <is>
          <t>2035 Job Detail Report.pdf (Sage Timberline, 04/03/2026)</t>
        </is>
      </c>
    </row>
    <row r="29">
      <c r="B29" s="14" t="n">
        <v>24</v>
      </c>
      <c r="C29" s="5" t="inlineStr">
        <is>
          <t>gross_margin</t>
        </is>
      </c>
      <c r="D29" s="5" t="inlineStr">
        <is>
          <t>Gross Margin</t>
        </is>
      </c>
      <c r="E29" s="29" t="n">
        <v>0.4963702806352019</v>
      </c>
      <c r="F29" s="14" t="inlineStr">
        <is>
          <t>%</t>
        </is>
      </c>
      <c r="G29" s="14" t="inlineStr">
        <is>
          <t>Benchmark KPIs</t>
        </is>
      </c>
      <c r="H29" s="26" t="inlineStr">
        <is>
          <t>Verified</t>
        </is>
      </c>
      <c r="I29" s="5" t="inlineStr">
        <is>
          <t>Derived</t>
        </is>
      </c>
    </row>
    <row r="30">
      <c r="B30" s="14" t="n">
        <v>25</v>
      </c>
      <c r="C30" s="5" t="inlineStr">
        <is>
          <t>retainage</t>
        </is>
      </c>
      <c r="D30" s="5" t="inlineStr">
        <is>
          <t>Retainage</t>
        </is>
      </c>
      <c r="E30" s="28" t="n">
        <v>36114.51</v>
      </c>
      <c r="F30" s="14" t="inlineStr">
        <is>
          <t>USD</t>
        </is>
      </c>
      <c r="G30" s="14" t="inlineStr">
        <is>
          <t>Benchmark KPIs</t>
        </is>
      </c>
      <c r="H30" s="26" t="inlineStr">
        <is>
          <t>Verified</t>
        </is>
      </c>
      <c r="I30" s="5" t="inlineStr">
        <is>
          <t>2035 Job Detail Report.pdf (Sage Timberline, 04/03/2026)</t>
        </is>
      </c>
    </row>
    <row r="31">
      <c r="B31" s="14" t="n">
        <v>26</v>
      </c>
      <c r="C31" s="5" t="inlineStr">
        <is>
          <t>retainage_pct</t>
        </is>
      </c>
      <c r="D31" s="5" t="inlineStr">
        <is>
          <t>Retainage %</t>
        </is>
      </c>
      <c r="E31" s="29" t="n">
        <v>0.05000001384485456</v>
      </c>
      <c r="F31" s="14" t="inlineStr">
        <is>
          <t>%</t>
        </is>
      </c>
      <c r="G31" s="14" t="inlineStr">
        <is>
          <t>Benchmark KPIs</t>
        </is>
      </c>
      <c r="H31" s="26" t="inlineStr">
        <is>
          <t>Verified</t>
        </is>
      </c>
      <c r="I31" s="5" t="inlineStr">
        <is>
          <t>Derived</t>
        </is>
      </c>
    </row>
    <row r="32">
      <c r="B32" s="14" t="n">
        <v>27</v>
      </c>
      <c r="C32" s="5" t="inlineStr">
        <is>
          <t>labor_cost</t>
        </is>
      </c>
      <c r="D32" s="5" t="inlineStr">
        <is>
          <t>Labor Cost</t>
        </is>
      </c>
      <c r="E32" s="28" t="n">
        <v>133452.5</v>
      </c>
      <c r="F32" s="14" t="inlineStr">
        <is>
          <t>USD</t>
        </is>
      </c>
      <c r="G32" s="14" t="inlineStr">
        <is>
          <t>Benchmark KPIs</t>
        </is>
      </c>
      <c r="H32" s="26" t="inlineStr">
        <is>
          <t>Verified</t>
        </is>
      </c>
      <c r="I32" s="5" t="inlineStr">
        <is>
          <t>2035 Job Detail Report.pdf (Sage Timberline, 04/03/2026)</t>
        </is>
      </c>
    </row>
    <row r="33">
      <c r="B33" s="14" t="n">
        <v>28</v>
      </c>
      <c r="C33" s="5" t="inlineStr">
        <is>
          <t>material_cost</t>
        </is>
      </c>
      <c r="D33" s="5" t="inlineStr">
        <is>
          <t>Material Cost</t>
        </is>
      </c>
      <c r="E33" s="28" t="n">
        <v>159409.61</v>
      </c>
      <c r="F33" s="14" t="inlineStr">
        <is>
          <t>USD</t>
        </is>
      </c>
      <c r="G33" s="14" t="inlineStr">
        <is>
          <t>Benchmark KPIs</t>
        </is>
      </c>
      <c r="H33" s="26" t="inlineStr">
        <is>
          <t>Verified</t>
        </is>
      </c>
      <c r="I33" s="5" t="inlineStr">
        <is>
          <t>2035 Job Detail Report.pdf (Sage Timberline, 04/03/2026)</t>
        </is>
      </c>
    </row>
    <row r="34">
      <c r="B34" s="14" t="n">
        <v>29</v>
      </c>
      <c r="C34" s="5" t="inlineStr">
        <is>
          <t>overhead_cost</t>
        </is>
      </c>
      <c r="D34" s="5" t="inlineStr">
        <is>
          <t>Overhead Cost</t>
        </is>
      </c>
      <c r="E34" s="28" t="n">
        <v>1509</v>
      </c>
      <c r="F34" s="14" t="inlineStr">
        <is>
          <t>USD</t>
        </is>
      </c>
      <c r="G34" s="14" t="inlineStr">
        <is>
          <t>Benchmark KPIs</t>
        </is>
      </c>
      <c r="H34" s="26" t="inlineStr">
        <is>
          <t>Verified</t>
        </is>
      </c>
      <c r="I34" s="5" t="inlineStr">
        <is>
          <t>2035 Job Detail Report.pdf (Sage Timberline, 04/03/2026)</t>
        </is>
      </c>
    </row>
    <row r="35">
      <c r="B35" s="14" t="n">
        <v>30</v>
      </c>
      <c r="C35" s="5" t="inlineStr">
        <is>
          <t>burden_cost</t>
        </is>
      </c>
      <c r="D35" s="5" t="inlineStr">
        <is>
          <t>Burden</t>
        </is>
      </c>
      <c r="E35" s="28" t="n">
        <v>59186.15</v>
      </c>
      <c r="F35" s="14" t="inlineStr">
        <is>
          <t>USD</t>
        </is>
      </c>
      <c r="G35" s="14" t="inlineStr">
        <is>
          <t>Benchmark KPIs</t>
        </is>
      </c>
      <c r="H35" s="26" t="inlineStr">
        <is>
          <t>Verified</t>
        </is>
      </c>
      <c r="I35" s="5" t="inlineStr">
        <is>
          <t>2035 Job Detail Report.pdf (Sage Timberline, 04/03/2026)</t>
        </is>
      </c>
    </row>
    <row r="36">
      <c r="B36" s="14" t="n">
        <v>31</v>
      </c>
      <c r="C36" s="5" t="inlineStr">
        <is>
          <t>tax_cost</t>
        </is>
      </c>
      <c r="D36" s="5" t="inlineStr">
        <is>
          <t>Tax</t>
        </is>
      </c>
      <c r="E36" s="28" t="n">
        <v>10209.45</v>
      </c>
      <c r="F36" s="14" t="inlineStr">
        <is>
          <t>USD</t>
        </is>
      </c>
      <c r="G36" s="14" t="inlineStr">
        <is>
          <t>Benchmark KPIs</t>
        </is>
      </c>
      <c r="H36" s="26" t="inlineStr">
        <is>
          <t>Verified</t>
        </is>
      </c>
      <c r="I36" s="5" t="inlineStr">
        <is>
          <t>2035 Job Detail Report.pdf (Sage Timberline, 04/03/2026)</t>
        </is>
      </c>
    </row>
    <row r="37">
      <c r="B37" s="14" t="n">
        <v>32</v>
      </c>
      <c r="C37" s="5" t="inlineStr">
        <is>
          <t>total_hours</t>
        </is>
      </c>
      <c r="D37" s="5" t="inlineStr">
        <is>
          <t>Total Hours</t>
        </is>
      </c>
      <c r="E37" s="30" t="n">
        <v>5204.75</v>
      </c>
      <c r="F37" s="14" t="inlineStr">
        <is>
          <t>hours</t>
        </is>
      </c>
      <c r="G37" s="14" t="inlineStr">
        <is>
          <t>Benchmark KPIs</t>
        </is>
      </c>
      <c r="H37" s="26" t="inlineStr">
        <is>
          <t>Verified</t>
        </is>
      </c>
      <c r="I37" s="5" t="inlineStr">
        <is>
          <t>2035 Job Detail Report.pdf (Sage Timberline, 04/03/2026)</t>
        </is>
      </c>
    </row>
    <row r="38">
      <c r="B38" s="14" t="n">
        <v>33</v>
      </c>
      <c r="C38" s="5" t="inlineStr">
        <is>
          <t>total_workers</t>
        </is>
      </c>
      <c r="D38" s="5" t="inlineStr">
        <is>
          <t>Total Workers</t>
        </is>
      </c>
      <c r="E38" s="27" t="n">
        <v>24</v>
      </c>
      <c r="F38" s="14" t="inlineStr">
        <is>
          <t>count</t>
        </is>
      </c>
      <c r="G38" s="14" t="inlineStr">
        <is>
          <t>Benchmark KPIs</t>
        </is>
      </c>
      <c r="H38" s="26" t="inlineStr">
        <is>
          <t>Verified</t>
        </is>
      </c>
      <c r="I38" s="5" t="inlineStr">
        <is>
          <t>2035 Job Detail Report.pdf (Sage Timberline, 04/03/2026)</t>
        </is>
      </c>
    </row>
    <row r="39">
      <c r="B39" s="14" t="n">
        <v>34</v>
      </c>
      <c r="C39" s="5" t="inlineStr">
        <is>
          <t>blended_wage</t>
        </is>
      </c>
      <c r="D39" s="5" t="inlineStr">
        <is>
          <t>Blended Wage</t>
        </is>
      </c>
      <c r="E39" s="28" t="n">
        <v>25.64052067822662</v>
      </c>
      <c r="F39" s="14" t="inlineStr">
        <is>
          <t>USD/hr</t>
        </is>
      </c>
      <c r="G39" s="14" t="inlineStr">
        <is>
          <t>Benchmark KPIs</t>
        </is>
      </c>
      <c r="H39" s="26" t="inlineStr">
        <is>
          <t>Verified</t>
        </is>
      </c>
      <c r="I39" s="5" t="inlineStr">
        <is>
          <t>Derived</t>
        </is>
      </c>
    </row>
    <row r="40">
      <c r="B40" s="14" t="n">
        <v>35</v>
      </c>
      <c r="C40" s="5" t="inlineStr">
        <is>
          <t>loaded_wage</t>
        </is>
      </c>
      <c r="D40" s="5" t="inlineStr">
        <is>
          <t>Loaded Wage</t>
        </is>
      </c>
      <c r="E40" s="28" t="n">
        <v>38.97364907056055</v>
      </c>
      <c r="F40" s="14" t="inlineStr">
        <is>
          <t>USD/hr</t>
        </is>
      </c>
      <c r="G40" s="14" t="inlineStr">
        <is>
          <t>Benchmark KPIs</t>
        </is>
      </c>
      <c r="H40" s="26" t="inlineStr">
        <is>
          <t>Verified</t>
        </is>
      </c>
      <c r="I40" s="5" t="inlineStr">
        <is>
          <t>Derived</t>
        </is>
      </c>
    </row>
    <row r="41">
      <c r="B41" s="14" t="n">
        <v>36</v>
      </c>
      <c r="C41" s="5" t="inlineStr">
        <is>
          <t>burden_mult</t>
        </is>
      </c>
      <c r="D41" s="5" t="inlineStr">
        <is>
          <t>Burden Multiplier</t>
        </is>
      </c>
      <c r="E41" s="31" t="n">
        <v>1.520002247990858</v>
      </c>
      <c r="F41" s="14" t="inlineStr">
        <is>
          <t>x</t>
        </is>
      </c>
      <c r="G41" s="14" t="inlineStr">
        <is>
          <t>Benchmark KPIs</t>
        </is>
      </c>
      <c r="H41" s="26" t="inlineStr">
        <is>
          <t>Verified</t>
        </is>
      </c>
      <c r="I41" s="5" t="inlineStr">
        <is>
          <t>Derived</t>
        </is>
      </c>
    </row>
    <row r="42">
      <c r="B42" s="14" t="n">
        <v>37</v>
      </c>
      <c r="C42" s="5" t="inlineStr">
        <is>
          <t>roughin_hours</t>
        </is>
      </c>
      <c r="D42" s="5" t="inlineStr">
        <is>
          <t>Rough-in Hours</t>
        </is>
      </c>
      <c r="E42" s="30" t="n">
        <v>2891</v>
      </c>
      <c r="F42" s="14" t="inlineStr">
        <is>
          <t>hours</t>
        </is>
      </c>
      <c r="G42" s="14" t="inlineStr">
        <is>
          <t>Benchmark KPIs</t>
        </is>
      </c>
      <c r="H42" s="26" t="inlineStr">
        <is>
          <t>Verified</t>
        </is>
      </c>
      <c r="I42" s="5" t="inlineStr">
        <is>
          <t>2035 Job Detail Report.pdf (Sage Timberline, 04/03/2026)</t>
        </is>
      </c>
    </row>
    <row r="43">
      <c r="B43" s="14" t="n">
        <v>38</v>
      </c>
      <c r="C43" s="5" t="inlineStr">
        <is>
          <t>finish_hours</t>
        </is>
      </c>
      <c r="D43" s="5" t="inlineStr">
        <is>
          <t>Finish Hours</t>
        </is>
      </c>
      <c r="E43" s="30" t="n">
        <v>590</v>
      </c>
      <c r="F43" s="14" t="inlineStr">
        <is>
          <t>hours</t>
        </is>
      </c>
      <c r="G43" s="14" t="inlineStr">
        <is>
          <t>Benchmark KPIs</t>
        </is>
      </c>
      <c r="H43" s="26" t="inlineStr">
        <is>
          <t>Verified</t>
        </is>
      </c>
      <c r="I43" s="5" t="inlineStr">
        <is>
          <t>2035 Job Detail Report.pdf (Sage Timberline, 04/03/2026)</t>
        </is>
      </c>
    </row>
    <row r="44">
      <c r="B44" s="14" t="n">
        <v>39</v>
      </c>
      <c r="C44" s="5" t="inlineStr">
        <is>
          <t>rev_per_hour</t>
        </is>
      </c>
      <c r="D44" s="5" t="inlineStr">
        <is>
          <t>Rev per Hour</t>
        </is>
      </c>
      <c r="E44" s="28" t="n">
        <v>138.7751573082281</v>
      </c>
      <c r="F44" s="14" t="inlineStr">
        <is>
          <t>USD/hr</t>
        </is>
      </c>
      <c r="G44" s="14" t="inlineStr">
        <is>
          <t>Benchmark KPIs</t>
        </is>
      </c>
      <c r="H44" s="26" t="inlineStr">
        <is>
          <t>Verified</t>
        </is>
      </c>
      <c r="I44" s="5" t="inlineStr">
        <is>
          <t>Derived</t>
        </is>
      </c>
    </row>
    <row r="45">
      <c r="B45" s="14" t="n">
        <v>40</v>
      </c>
      <c r="C45" s="5" t="inlineStr">
        <is>
          <t>profit_per_hour</t>
        </is>
      </c>
      <c r="D45" s="5" t="inlineStr">
        <is>
          <t>Profit per Hour</t>
        </is>
      </c>
      <c r="E45" s="28" t="n">
        <v>68.88386377827945</v>
      </c>
      <c r="F45" s="14" t="inlineStr">
        <is>
          <t>USD/hr</t>
        </is>
      </c>
      <c r="G45" s="14" t="inlineStr">
        <is>
          <t>Benchmark KPIs</t>
        </is>
      </c>
      <c r="H45" s="26" t="inlineStr">
        <is>
          <t>Verified</t>
        </is>
      </c>
      <c r="I45" s="5" t="inlineStr">
        <is>
          <t>Derived</t>
        </is>
      </c>
    </row>
    <row r="46">
      <c r="B46" s="14" t="n">
        <v>41</v>
      </c>
      <c r="C46" s="5" t="inlineStr">
        <is>
          <t>rev_per_unit</t>
        </is>
      </c>
      <c r="D46" s="5" t="inlineStr">
        <is>
          <t>Rev per Unit</t>
        </is>
      </c>
      <c r="E46" s="28" t="n">
        <v>7850.978260869565</v>
      </c>
      <c r="F46" s="14" t="inlineStr">
        <is>
          <t>USD</t>
        </is>
      </c>
      <c r="G46" s="14" t="inlineStr">
        <is>
          <t>Benchmark KPIs</t>
        </is>
      </c>
      <c r="H46" s="26" t="inlineStr">
        <is>
          <t>Verified</t>
        </is>
      </c>
      <c r="I46" s="5" t="inlineStr">
        <is>
          <t>Derived</t>
        </is>
      </c>
    </row>
    <row r="47">
      <c r="B47" s="14" t="n">
        <v>42</v>
      </c>
      <c r="C47" s="5" t="inlineStr">
        <is>
          <t>cost_per_unit</t>
        </is>
      </c>
      <c r="D47" s="5" t="inlineStr">
        <is>
          <t>Cost per Unit</t>
        </is>
      </c>
      <c r="E47" s="28" t="n">
        <v>3953.98597826087</v>
      </c>
      <c r="F47" s="14" t="inlineStr">
        <is>
          <t>USD</t>
        </is>
      </c>
      <c r="G47" s="14" t="inlineStr">
        <is>
          <t>Benchmark KPIs</t>
        </is>
      </c>
      <c r="H47" s="26" t="inlineStr">
        <is>
          <t>Verified</t>
        </is>
      </c>
      <c r="I47" s="5" t="inlineStr">
        <is>
          <t>Derived</t>
        </is>
      </c>
    </row>
    <row r="48">
      <c r="B48" s="14" t="n">
        <v>43</v>
      </c>
      <c r="C48" s="5" t="inlineStr">
        <is>
          <t>hours_per_unit</t>
        </is>
      </c>
      <c r="D48" s="5" t="inlineStr">
        <is>
          <t>Hours per Unit</t>
        </is>
      </c>
      <c r="E48" s="30" t="n">
        <v>56.57336956521739</v>
      </c>
      <c r="F48" s="14" t="inlineStr">
        <is>
          <t>hours</t>
        </is>
      </c>
      <c r="G48" s="14" t="inlineStr">
        <is>
          <t>Benchmark KPIs</t>
        </is>
      </c>
      <c r="H48" s="26" t="inlineStr">
        <is>
          <t>Verified</t>
        </is>
      </c>
      <c r="I48" s="5" t="inlineStr">
        <is>
          <t>Derived</t>
        </is>
      </c>
    </row>
    <row r="49">
      <c r="B49" s="14" t="n">
        <v>44</v>
      </c>
      <c r="C49" s="5" t="inlineStr">
        <is>
          <t>labor_pct</t>
        </is>
      </c>
      <c r="D49" s="5" t="inlineStr">
        <is>
          <t>Labor %</t>
        </is>
      </c>
      <c r="E49" s="29" t="n">
        <v>0.184763045314209</v>
      </c>
      <c r="F49" s="14" t="inlineStr">
        <is>
          <t>%</t>
        </is>
      </c>
      <c r="G49" s="14" t="inlineStr">
        <is>
          <t>Benchmark KPIs</t>
        </is>
      </c>
      <c r="H49" s="26" t="inlineStr">
        <is>
          <t>Verified</t>
        </is>
      </c>
      <c r="I49" s="5" t="inlineStr">
        <is>
          <t>Derived</t>
        </is>
      </c>
    </row>
    <row r="50">
      <c r="B50" s="14" t="n">
        <v>45</v>
      </c>
      <c r="C50" s="5" t="inlineStr">
        <is>
          <t>material_pct</t>
        </is>
      </c>
      <c r="D50" s="5" t="inlineStr">
        <is>
          <t>Material %</t>
        </is>
      </c>
      <c r="E50" s="29" t="n">
        <v>0.2207002865884893</v>
      </c>
      <c r="F50" s="14" t="inlineStr">
        <is>
          <t>%</t>
        </is>
      </c>
      <c r="G50" s="14" t="inlineStr">
        <is>
          <t>Benchmark KPIs</t>
        </is>
      </c>
      <c r="H50" s="26" t="inlineStr">
        <is>
          <t>Verified</t>
        </is>
      </c>
      <c r="I50" s="5" t="inlineStr">
        <is>
          <t>Derived</t>
        </is>
      </c>
    </row>
    <row r="51">
      <c r="B51" s="14" t="n">
        <v>46</v>
      </c>
      <c r="C51" s="5" t="inlineStr">
        <is>
          <t>total_vendors</t>
        </is>
      </c>
      <c r="D51" s="5" t="inlineStr">
        <is>
          <t>Total Vendors</t>
        </is>
      </c>
      <c r="E51" s="27" t="n">
        <v>16</v>
      </c>
      <c r="F51" s="14" t="inlineStr">
        <is>
          <t>count</t>
        </is>
      </c>
      <c r="G51" s="14" t="inlineStr">
        <is>
          <t>Vendors</t>
        </is>
      </c>
      <c r="H51" s="26" t="inlineStr">
        <is>
          <t>Verified</t>
        </is>
      </c>
      <c r="I51" s="5" t="inlineStr">
        <is>
          <t>2035 Job Detail Report.pdf (Sage Timberline, 04/03/2026)</t>
        </is>
      </c>
    </row>
    <row r="52">
      <c r="B52" s="14" t="n">
        <v>47</v>
      </c>
      <c r="C52" s="5" t="inlineStr">
        <is>
          <t>total_invoices</t>
        </is>
      </c>
      <c r="D52" s="5" t="inlineStr">
        <is>
          <t>Total Invoices</t>
        </is>
      </c>
      <c r="E52" s="27" t="n">
        <v>18</v>
      </c>
      <c r="F52" s="14" t="inlineStr">
        <is>
          <t>count</t>
        </is>
      </c>
      <c r="G52" s="14" t="inlineStr">
        <is>
          <t>Billing &amp; SOV</t>
        </is>
      </c>
      <c r="H52" s="26" t="inlineStr">
        <is>
          <t>Verified</t>
        </is>
      </c>
      <c r="I52" s="5" t="inlineStr">
        <is>
          <t>2035 Job Detail Report.pdf (Sage Timberline, 04/03/2026)</t>
        </is>
      </c>
    </row>
    <row r="53">
      <c r="B53" s="14" t="n">
        <v>48</v>
      </c>
      <c r="C53" s="5" t="inlineStr">
        <is>
          <t>top_worker_share</t>
        </is>
      </c>
      <c r="D53" s="5" t="inlineStr">
        <is>
          <t>Top Worker Share</t>
        </is>
      </c>
      <c r="E53" s="29" t="n">
        <v>0.2098083481435228</v>
      </c>
      <c r="F53" s="14" t="inlineStr">
        <is>
          <t>%</t>
        </is>
      </c>
      <c r="G53" s="14" t="inlineStr">
        <is>
          <t>Crew Analytics</t>
        </is>
      </c>
      <c r="H53" s="26" t="inlineStr">
        <is>
          <t>Verified</t>
        </is>
      </c>
      <c r="I53" s="5" t="inlineStr">
        <is>
          <t>Derived</t>
        </is>
      </c>
    </row>
    <row r="54">
      <c r="B54" s="14" t="n">
        <v>49</v>
      </c>
      <c r="C54" s="5" t="inlineStr">
        <is>
          <t>top5_worker_share</t>
        </is>
      </c>
      <c r="D54" s="5" t="inlineStr">
        <is>
          <t>Top 5 Worker Share</t>
        </is>
      </c>
      <c r="E54" s="29" t="n">
        <v>0.7059897209279985</v>
      </c>
      <c r="F54" s="14" t="inlineStr">
        <is>
          <t>%</t>
        </is>
      </c>
      <c r="G54" s="14" t="inlineStr">
        <is>
          <t>Crew Analytics</t>
        </is>
      </c>
      <c r="H54" s="26" t="inlineStr">
        <is>
          <t>Verified</t>
        </is>
      </c>
      <c r="I54" s="5" t="inlineStr">
        <is>
          <t>Derived</t>
        </is>
      </c>
    </row>
    <row r="55">
      <c r="B55" s="14" t="n">
        <v>50</v>
      </c>
      <c r="C55" s="5" t="inlineStr">
        <is>
          <t>cost_code_count</t>
        </is>
      </c>
      <c r="D55" s="5" t="inlineStr">
        <is>
          <t>Cost Codes Active</t>
        </is>
      </c>
      <c r="E55" s="27" t="n">
        <v>22</v>
      </c>
      <c r="F55" s="14" t="inlineStr">
        <is>
          <t>count</t>
        </is>
      </c>
      <c r="G55" s="14" t="inlineStr">
        <is>
          <t>Budget vs Actual</t>
        </is>
      </c>
      <c r="H55" s="26" t="inlineStr">
        <is>
          <t>Verified</t>
        </is>
      </c>
      <c r="I55" s="5" t="inlineStr">
        <is>
          <t>2035 Job Detail Report.pdf (Sage Timberline, 04/03/2026)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13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48" customWidth="1" min="3" max="3"/>
    <col width="20" customWidth="1" min="4" max="4"/>
    <col width="20" customWidth="1" min="5" max="5"/>
    <col width="14" customWidth="1" min="6" max="6"/>
    <col width="12" customWidth="1" min="7" max="7"/>
    <col width="22" customWidth="1" min="8" max="8"/>
  </cols>
  <sheetData>
    <row r="2" ht="28" customHeight="1">
      <c r="B2" s="1" t="inlineStr">
        <is>
          <t>Reconciliation</t>
        </is>
      </c>
    </row>
    <row r="3">
      <c r="B3" s="2" t="inlineStr">
        <is>
          <t>Cross-sheet formula checks</t>
        </is>
      </c>
    </row>
    <row r="5">
      <c r="B5" s="13" t="inlineStr">
        <is>
          <t>#</t>
        </is>
      </c>
      <c r="C5" s="13" t="inlineStr">
        <is>
          <t>Check</t>
        </is>
      </c>
      <c r="D5" s="13" t="inlineStr">
        <is>
          <t>Value A</t>
        </is>
      </c>
      <c r="E5" s="13" t="inlineStr">
        <is>
          <t>Value B</t>
        </is>
      </c>
      <c r="F5" s="13" t="inlineStr">
        <is>
          <t>Delta</t>
        </is>
      </c>
      <c r="G5" s="13" t="inlineStr">
        <is>
          <t>Status</t>
        </is>
      </c>
      <c r="H5" s="13" t="inlineStr">
        <is>
          <t>Tabs</t>
        </is>
      </c>
    </row>
    <row r="6">
      <c r="B6" s="14" t="n">
        <v>1</v>
      </c>
      <c r="C6" s="5" t="inlineStr">
        <is>
          <t>Revenue = Contract Final</t>
        </is>
      </c>
      <c r="D6" s="20" t="n">
        <v>722290</v>
      </c>
      <c r="E6" s="20" t="n">
        <v>722290</v>
      </c>
      <c r="F6" s="15">
        <f>D6-E6</f>
        <v/>
      </c>
      <c r="G6" s="14">
        <f>IF(ABS(F6)&lt;=1,"TIES",IF(ABS(F6)&lt;=ABS(E6)*0.05,"WITHIN","OFF"))</f>
        <v/>
      </c>
      <c r="H6" s="35" t="inlineStr">
        <is>
          <t>1↔8</t>
        </is>
      </c>
    </row>
    <row r="7">
      <c r="B7" s="14" t="n">
        <v>2</v>
      </c>
      <c r="C7" s="5" t="inlineStr">
        <is>
          <t>Expenses = Labor+Mat+OH+Burden+Tax</t>
        </is>
      </c>
      <c r="D7" s="20" t="n">
        <v>363766.71</v>
      </c>
      <c r="E7" s="20" t="n">
        <v>363766.71</v>
      </c>
      <c r="F7" s="15">
        <f>D7-E7</f>
        <v/>
      </c>
      <c r="G7" s="14">
        <f>IF(ABS(F7)&lt;=1,"TIES",IF(ABS(F7)&lt;=ABS(E7)*0.05,"WITHIN","OFF"))</f>
        <v/>
      </c>
      <c r="H7" s="35" t="inlineStr">
        <is>
          <t>1↔3</t>
        </is>
      </c>
    </row>
    <row r="8">
      <c r="B8" s="14" t="n">
        <v>3</v>
      </c>
      <c r="C8" s="5" t="inlineStr">
        <is>
          <t>Net Profit = Revenue - Expenses</t>
        </is>
      </c>
      <c r="D8" s="20" t="n">
        <v>358523.29</v>
      </c>
      <c r="E8" s="20" t="n">
        <v>358523.29</v>
      </c>
      <c r="F8" s="15">
        <f>D8-E8</f>
        <v/>
      </c>
      <c r="G8" s="14">
        <f>IF(ABS(F8)&lt;=1,"TIES",IF(ABS(F8)&lt;=ABS(E8)*0.05,"WITHIN","OFF"))</f>
        <v/>
      </c>
      <c r="H8" s="35" t="inlineStr">
        <is>
          <t>1↔Derived</t>
        </is>
      </c>
    </row>
    <row r="9">
      <c r="B9" s="14" t="n">
        <v>4</v>
      </c>
      <c r="C9" s="5" t="inlineStr">
        <is>
          <t>Sage 999 actual = -Revenue</t>
        </is>
      </c>
      <c r="D9" s="20" t="n">
        <v>722290</v>
      </c>
      <c r="E9" s="20" t="n">
        <v>722290</v>
      </c>
      <c r="F9" s="15">
        <f>D9-E9</f>
        <v/>
      </c>
      <c r="G9" s="14">
        <f>IF(ABS(F9)&lt;=1,"TIES",IF(ABS(F9)&lt;=ABS(E9)*0.05,"WITHIN","OFF"))</f>
        <v/>
      </c>
      <c r="H9" s="35" t="inlineStr">
        <is>
          <t>2↔1</t>
        </is>
      </c>
    </row>
    <row r="10">
      <c r="B10" s="14" t="n">
        <v>5</v>
      </c>
      <c r="C10" s="5" t="inlineStr">
        <is>
          <t>Total Hours = Worker hours sum</t>
        </is>
      </c>
      <c r="D10" s="20" t="n">
        <v>5204.75</v>
      </c>
      <c r="E10" s="20" t="n">
        <v>5278.5</v>
      </c>
      <c r="F10" s="15">
        <f>D10-E10</f>
        <v/>
      </c>
      <c r="G10" s="14">
        <f>IF(ABS(F10)&lt;=1,"TIES",IF(ABS(F10)&lt;=ABS(E10)*0.05,"WITHIN","OFF"))</f>
        <v/>
      </c>
      <c r="H10" s="35" t="inlineStr">
        <is>
          <t>5↔2</t>
        </is>
      </c>
    </row>
    <row r="11">
      <c r="B11" s="14" t="n">
        <v>6</v>
      </c>
      <c r="C11" s="5" t="inlineStr">
        <is>
          <t>Contract Final - Orig = CO implied</t>
        </is>
      </c>
      <c r="D11" s="20" t="n">
        <v>4890</v>
      </c>
      <c r="E11" s="20" t="n">
        <v>4890</v>
      </c>
      <c r="F11" s="15">
        <f>D11-E11</f>
        <v/>
      </c>
      <c r="G11" s="14">
        <f>IF(ABS(F11)&lt;=1,"TIES",IF(ABS(F11)&lt;=ABS(E11)*0.05,"WITHIN","OFF"))</f>
        <v/>
      </c>
      <c r="H11" s="35" t="inlineStr">
        <is>
          <t>11↔Derived</t>
        </is>
      </c>
    </row>
    <row r="12">
      <c r="B12" s="14" t="n">
        <v>7</v>
      </c>
      <c r="C12" s="5" t="inlineStr">
        <is>
          <t>Worker count</t>
        </is>
      </c>
      <c r="D12" s="24" t="n">
        <v>24</v>
      </c>
      <c r="E12" s="24" t="n">
        <v>24</v>
      </c>
      <c r="F12" s="15">
        <f>D12-E12</f>
        <v/>
      </c>
      <c r="G12" s="14">
        <f>IF(ABS(F12)&lt;=1,"TIES",IF(ABS(F12)&lt;=ABS(E12)*0.05,"WITHIN","OFF"))</f>
        <v/>
      </c>
      <c r="H12" s="35" t="inlineStr">
        <is>
          <t>5↔1</t>
        </is>
      </c>
    </row>
    <row r="13">
      <c r="B13" s="14" t="n">
        <v>8</v>
      </c>
      <c r="C13" s="5" t="inlineStr">
        <is>
          <t>Cost code count</t>
        </is>
      </c>
      <c r="D13" s="24" t="n">
        <v>22</v>
      </c>
      <c r="E13" s="24" t="n">
        <v>22</v>
      </c>
      <c r="F13" s="15">
        <f>D13-E13</f>
        <v/>
      </c>
      <c r="G13" s="14">
        <f>IF(ABS(F13)&lt;=1,"TIES",IF(ABS(F13)&lt;=ABS(E13)*0.05,"WITHIN","OFF"))</f>
        <v/>
      </c>
      <c r="H13" s="35" t="inlineStr">
        <is>
          <t>2↔16</t>
        </is>
      </c>
    </row>
  </sheetData>
  <mergeCells count="2">
    <mergeCell ref="B3:J3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2026-04-17T21:20:48Z</dcterms:created>
  <dcterms:modified xmlns:dcterms="http://purl.org/dc/terms/" xmlns:xsi="http://www.w3.org/2001/XMLSchema-instance" xsi:type="dcterms:W3CDTF">2026-04-17T21:20:48Z</dcterms:modified>
</cp:coreProperties>
</file>